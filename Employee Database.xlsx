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Employee Search" sheetId="2" r:id="rId6"/>
    <sheet state="visible" name="HR Dashboard" sheetId="3" r:id="rId7"/>
  </sheets>
  <definedNames>
    <definedName hidden="1" localSheetId="0" name="_xlnm._FilterDatabase">Sheet1!$A$1:$L$11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<sst xmlns="http://schemas.openxmlformats.org/spreadsheetml/2006/main" count="1165" uniqueCount="507">
  <si>
    <t>Employee ID</t>
  </si>
  <si>
    <t>Full Name</t>
  </si>
  <si>
    <t>Department</t>
  </si>
  <si>
    <t>Job Title</t>
  </si>
  <si>
    <t>Manager</t>
  </si>
  <si>
    <t>Email</t>
  </si>
  <si>
    <t>Phone</t>
  </si>
  <si>
    <t>Joining Date</t>
  </si>
  <si>
    <t>Employment Type</t>
  </si>
  <si>
    <t>Status</t>
  </si>
  <si>
    <t>City</t>
  </si>
  <si>
    <t>Years Of Service</t>
  </si>
  <si>
    <t>EMP001</t>
  </si>
  <si>
    <t>Aarav Sharma</t>
  </si>
  <si>
    <t>Operations</t>
  </si>
  <si>
    <t>Operations Executive</t>
  </si>
  <si>
    <t>Priya Kapoor</t>
  </si>
  <si>
    <t>aarav.sharma@novabridge.com</t>
  </si>
  <si>
    <t>9876543210</t>
  </si>
  <si>
    <t>Full-Time</t>
  </si>
  <si>
    <t>Active</t>
  </si>
  <si>
    <t>Delhi</t>
  </si>
  <si>
    <t>EMP002</t>
  </si>
  <si>
    <t>Meera Patel</t>
  </si>
  <si>
    <t>HR</t>
  </si>
  <si>
    <t>HR Associate</t>
  </si>
  <si>
    <t>Rahul Mehta</t>
  </si>
  <si>
    <r>
      <rPr>
        <color rgb="FF1155CC"/>
        <u/>
      </rPr>
      <t>meera.patel@novabridge.com</t>
    </r>
  </si>
  <si>
    <t>9876543211</t>
  </si>
  <si>
    <t>Mumbai</t>
  </si>
  <si>
    <t>EMP003</t>
  </si>
  <si>
    <t>Arjun Singh</t>
  </si>
  <si>
    <t>Finance</t>
  </si>
  <si>
    <t>Finance Analyst</t>
  </si>
  <si>
    <t>Neha Verma</t>
  </si>
  <si>
    <r>
      <rPr>
        <color rgb="FF1155CC"/>
        <u/>
      </rPr>
      <t>arjun.singh@novabridge.com</t>
    </r>
  </si>
  <si>
    <t>9876543212</t>
  </si>
  <si>
    <t>Jaipur</t>
  </si>
  <si>
    <t>EMP004</t>
  </si>
  <si>
    <t>Kavya Nair</t>
  </si>
  <si>
    <t>IT</t>
  </si>
  <si>
    <t>IT Support Executive</t>
  </si>
  <si>
    <t>Aman Khanna</t>
  </si>
  <si>
    <r>
      <rPr>
        <color rgb="FF1155CC"/>
        <u/>
      </rPr>
      <t>kavya.nair@novabridge.com</t>
    </r>
  </si>
  <si>
    <t>9876543213</t>
  </si>
  <si>
    <t>Bengaluru</t>
  </si>
  <si>
    <t>EMP005</t>
  </si>
  <si>
    <t>Rohan Gupta</t>
  </si>
  <si>
    <t>Marketing</t>
  </si>
  <si>
    <t>Marketing Coordinator</t>
  </si>
  <si>
    <t>Sneha Joshi</t>
  </si>
  <si>
    <r>
      <rPr>
        <color rgb="FF1155CC"/>
        <u/>
      </rPr>
      <t>rohan.gupta@novabridge.com</t>
    </r>
  </si>
  <si>
    <t>9876543214</t>
  </si>
  <si>
    <t>Contract</t>
  </si>
  <si>
    <t>Pune</t>
  </si>
  <si>
    <t>EMP006</t>
  </si>
  <si>
    <t>Isha Verma</t>
  </si>
  <si>
    <t>Customer Support</t>
  </si>
  <si>
    <t>Support Executive</t>
  </si>
  <si>
    <t>Vikram Shah</t>
  </si>
  <si>
    <r>
      <rPr>
        <color rgb="FF1155CC"/>
        <u/>
      </rPr>
      <t>isha.verma@novabridge.com</t>
    </r>
  </si>
  <si>
    <t>9876543215</t>
  </si>
  <si>
    <t>Hyderabad</t>
  </si>
  <si>
    <t>EMP007</t>
  </si>
  <si>
    <t>Dev Malhotra</t>
  </si>
  <si>
    <t>Administration</t>
  </si>
  <si>
    <t>Admin Executive</t>
  </si>
  <si>
    <r>
      <rPr>
        <color rgb="FF1155CC"/>
        <u/>
      </rPr>
      <t>dev.malhotra@novabridge.com</t>
    </r>
  </si>
  <si>
    <t>9876543216</t>
  </si>
  <si>
    <t>EMP008</t>
  </si>
  <si>
    <t>Nisha Rao</t>
  </si>
  <si>
    <t>Operations Analyst</t>
  </si>
  <si>
    <r>
      <rPr>
        <color rgb="FF1155CC"/>
        <u/>
      </rPr>
      <t>nisha.rao@novabridge.com</t>
    </r>
  </si>
  <si>
    <t>9876543217</t>
  </si>
  <si>
    <t>On Leave</t>
  </si>
  <si>
    <t>Chennai</t>
  </si>
  <si>
    <t>EMP009</t>
  </si>
  <si>
    <t>Yash Jain</t>
  </si>
  <si>
    <t>Accounts Executive</t>
  </si>
  <si>
    <t>yash.jain@novabridge.com</t>
  </si>
  <si>
    <t>9876543218</t>
  </si>
  <si>
    <t>Intern</t>
  </si>
  <si>
    <t>Ahmedabad</t>
  </si>
  <si>
    <t>EMP010</t>
  </si>
  <si>
    <t>Ananya Bose</t>
  </si>
  <si>
    <t>Talent Acquisition Associate</t>
  </si>
  <si>
    <r>
      <rPr>
        <color rgb="FF1155CC"/>
        <u/>
      </rPr>
      <t>ananya.bose@novabridge.co</t>
    </r>
    <r>
      <rPr/>
      <t>m</t>
    </r>
  </si>
  <si>
    <t>9876543219</t>
  </si>
  <si>
    <t>Kolkata</t>
  </si>
  <si>
    <t>EMP011</t>
  </si>
  <si>
    <t>Aarav Sharma 11</t>
  </si>
  <si>
    <t>aarav.sharma11@novabridge.com</t>
  </si>
  <si>
    <t>9876543220</t>
  </si>
  <si>
    <t>EMP012</t>
  </si>
  <si>
    <t>Meera Patel 12</t>
  </si>
  <si>
    <t>meera.patel12@novabridge.com</t>
  </si>
  <si>
    <t>9876543221</t>
  </si>
  <si>
    <t>EMP013</t>
  </si>
  <si>
    <t>Arjun Singh 13</t>
  </si>
  <si>
    <t>arjun.singh13@novabridge.com</t>
  </si>
  <si>
    <t>9876543222</t>
  </si>
  <si>
    <t>EMP014</t>
  </si>
  <si>
    <t>Kavya Nair 14</t>
  </si>
  <si>
    <t>kavya.nair14@novabridge.com</t>
  </si>
  <si>
    <t>9876543223</t>
  </si>
  <si>
    <t>EMP015</t>
  </si>
  <si>
    <t>Rohan Gupta 15</t>
  </si>
  <si>
    <t>rohan.gupta15@novabridge.com</t>
  </si>
  <si>
    <t>9876543224</t>
  </si>
  <si>
    <t>EMP016</t>
  </si>
  <si>
    <t>Isha Verma 16</t>
  </si>
  <si>
    <t>isha.verma16@novabridge.com</t>
  </si>
  <si>
    <t>9876543225</t>
  </si>
  <si>
    <t>EMP017</t>
  </si>
  <si>
    <t>Dev Malhotra 17</t>
  </si>
  <si>
    <t>dev.malhotra17@novabridge.com</t>
  </si>
  <si>
    <t>9876543226</t>
  </si>
  <si>
    <t>EMP018</t>
  </si>
  <si>
    <t>Nisha Rao 18</t>
  </si>
  <si>
    <t>nisha.rao18@novabridge.com</t>
  </si>
  <si>
    <t>9876543227</t>
  </si>
  <si>
    <t>EMP019</t>
  </si>
  <si>
    <t>Yash Jain 19</t>
  </si>
  <si>
    <t>yash.jain19@novabridge.com</t>
  </si>
  <si>
    <t>9876543228</t>
  </si>
  <si>
    <t>EMP020</t>
  </si>
  <si>
    <t>Ananya Bose 20</t>
  </si>
  <si>
    <t>ananya.bose20@novabridge.com</t>
  </si>
  <si>
    <t>9876543229</t>
  </si>
  <si>
    <t>EMP021</t>
  </si>
  <si>
    <t>Aarav Sharma 21</t>
  </si>
  <si>
    <t>aarav.sharma21@novabridge.com</t>
  </si>
  <si>
    <t>9876543230</t>
  </si>
  <si>
    <t>EMP022</t>
  </si>
  <si>
    <t>Meera Patel 22</t>
  </si>
  <si>
    <t>meera.patel22@novabridge.com</t>
  </si>
  <si>
    <t>9876543231</t>
  </si>
  <si>
    <t>EMP023</t>
  </si>
  <si>
    <t>Arjun Singh 23</t>
  </si>
  <si>
    <t>arjun.singh23@novabridge.com</t>
  </si>
  <si>
    <t>9876543232</t>
  </si>
  <si>
    <t>EMP024</t>
  </si>
  <si>
    <t>Kavya Nair 24</t>
  </si>
  <si>
    <t>kavya.nair24@novabridge.com</t>
  </si>
  <si>
    <t>9876543233</t>
  </si>
  <si>
    <t>EMP025</t>
  </si>
  <si>
    <t>Rohan Gupta 25</t>
  </si>
  <si>
    <t>rohan.gupta25@novabridge.com</t>
  </si>
  <si>
    <t>9876543234</t>
  </si>
  <si>
    <t>EMP026</t>
  </si>
  <si>
    <t>Isha Verma 26</t>
  </si>
  <si>
    <t>isha.verma26@novabridge.com</t>
  </si>
  <si>
    <t>9876543235</t>
  </si>
  <si>
    <t>EMP027</t>
  </si>
  <si>
    <t>Dev Malhotra 27</t>
  </si>
  <si>
    <t>dev.malhotra27@novabridge.com</t>
  </si>
  <si>
    <t>9876543236</t>
  </si>
  <si>
    <t>EMP028</t>
  </si>
  <si>
    <t>Nisha Rao 28</t>
  </si>
  <si>
    <t>nisha.rao28@novabridge.com</t>
  </si>
  <si>
    <t>9876543237</t>
  </si>
  <si>
    <t>EMP029</t>
  </si>
  <si>
    <t>Yash Jain 29</t>
  </si>
  <si>
    <t>yash.jain29@novabridge.com</t>
  </si>
  <si>
    <t>9876543238</t>
  </si>
  <si>
    <t>EMP030</t>
  </si>
  <si>
    <t>Ananya Bose 30</t>
  </si>
  <si>
    <t>ananya.bose30@novabridge.com</t>
  </si>
  <si>
    <t>9876543239</t>
  </si>
  <si>
    <t>EMP031</t>
  </si>
  <si>
    <t>Aarav Sharma 31</t>
  </si>
  <si>
    <t>aarav.sharma31@novabridge.com</t>
  </si>
  <si>
    <t>9876543240</t>
  </si>
  <si>
    <t>EMP032</t>
  </si>
  <si>
    <t>Meera Patel 32</t>
  </si>
  <si>
    <t>meera.patel32@novabridge.com</t>
  </si>
  <si>
    <t>9876543241</t>
  </si>
  <si>
    <t>EMP033</t>
  </si>
  <si>
    <t>Arjun Singh 33</t>
  </si>
  <si>
    <t>arjun.singh33@novabridge.com</t>
  </si>
  <si>
    <t>9876543242</t>
  </si>
  <si>
    <t>EMP034</t>
  </si>
  <si>
    <t>Kavya Nair 34</t>
  </si>
  <si>
    <t>kavya.nair34@novabridge.com</t>
  </si>
  <si>
    <t>9876543243</t>
  </si>
  <si>
    <t>EMP035</t>
  </si>
  <si>
    <t>Rohan Gupta 35</t>
  </si>
  <si>
    <t>rohan.gupta35@novabridge.com</t>
  </si>
  <si>
    <t>9876543244</t>
  </si>
  <si>
    <t>EMP036</t>
  </si>
  <si>
    <t>Isha Verma 36</t>
  </si>
  <si>
    <t>isha.verma36@novabridge.com</t>
  </si>
  <si>
    <t>9876543245</t>
  </si>
  <si>
    <t>EMP037</t>
  </si>
  <si>
    <t>Dev Malhotra 37</t>
  </si>
  <si>
    <t>dev.malhotra37@novabridge.com</t>
  </si>
  <si>
    <t>9876543246</t>
  </si>
  <si>
    <t>EMP038</t>
  </si>
  <si>
    <t>Nisha Rao 38</t>
  </si>
  <si>
    <t>nisha.rao38@novabridge.com</t>
  </si>
  <si>
    <t>9876543247</t>
  </si>
  <si>
    <t>EMP039</t>
  </si>
  <si>
    <t>Yash Jain 39</t>
  </si>
  <si>
    <t>yash.jain39@novabridge.com</t>
  </si>
  <si>
    <t>9876543248</t>
  </si>
  <si>
    <t>EMP040</t>
  </si>
  <si>
    <t>Ananya Bose 40</t>
  </si>
  <si>
    <t>ananya.bose40@novabridge.com</t>
  </si>
  <si>
    <t>9876543249</t>
  </si>
  <si>
    <t>EMP041</t>
  </si>
  <si>
    <t>Aarav Sharma 41</t>
  </si>
  <si>
    <t>aarav.sharma41@novabridge.com</t>
  </si>
  <si>
    <t>9876543250</t>
  </si>
  <si>
    <t>EMP042</t>
  </si>
  <si>
    <t>Meera Patel 42</t>
  </si>
  <si>
    <t>meera.patel42@novabridge.com</t>
  </si>
  <si>
    <t>9876543251</t>
  </si>
  <si>
    <t>EMP043</t>
  </si>
  <si>
    <t>Arjun Singh 43</t>
  </si>
  <si>
    <t>arjun.singh43@novabridge.com</t>
  </si>
  <si>
    <t>9876543252</t>
  </si>
  <si>
    <t>EMP044</t>
  </si>
  <si>
    <t>Kavya Nair 44</t>
  </si>
  <si>
    <t>kavya.nair44@novabridge.com</t>
  </si>
  <si>
    <t>9876543253</t>
  </si>
  <si>
    <t>EMP045</t>
  </si>
  <si>
    <t>Rohan Gupta 45</t>
  </si>
  <si>
    <t>rohan.gupta45@novabridge.com</t>
  </si>
  <si>
    <t>9876543254</t>
  </si>
  <si>
    <t>EMP046</t>
  </si>
  <si>
    <t>Isha Verma 46</t>
  </si>
  <si>
    <t>isha.verma46@novabridge.com</t>
  </si>
  <si>
    <t>9876543255</t>
  </si>
  <si>
    <t>EMP047</t>
  </si>
  <si>
    <t>Dev Malhotra 47</t>
  </si>
  <si>
    <t>dev.malhotra47@novabridge.com</t>
  </si>
  <si>
    <t>9876543256</t>
  </si>
  <si>
    <t>EMP048</t>
  </si>
  <si>
    <t>Nisha Rao 48</t>
  </si>
  <si>
    <t>nisha.rao48@novabridge.com</t>
  </si>
  <si>
    <t>9876543257</t>
  </si>
  <si>
    <t>EMP049</t>
  </si>
  <si>
    <t>Yash Jain 49</t>
  </si>
  <si>
    <t>yash.jain49@novabridge.com</t>
  </si>
  <si>
    <t>9876543258</t>
  </si>
  <si>
    <t>EMP050</t>
  </si>
  <si>
    <t>Ananya Bose 50</t>
  </si>
  <si>
    <t>ananya.bose50@novabridge.com</t>
  </si>
  <si>
    <t>9876543259</t>
  </si>
  <si>
    <t>EMP051</t>
  </si>
  <si>
    <t>Aarav Sharma 51</t>
  </si>
  <si>
    <t>aarav.sharma51@novabridge.com</t>
  </si>
  <si>
    <t>9876543260</t>
  </si>
  <si>
    <t>EMP052</t>
  </si>
  <si>
    <t>Meera Patel 52</t>
  </si>
  <si>
    <t>meera.patel52@novabridge.com</t>
  </si>
  <si>
    <t>9876543261</t>
  </si>
  <si>
    <t>EMP053</t>
  </si>
  <si>
    <t>Arjun Singh 53</t>
  </si>
  <si>
    <t>arjun.singh53@novabridge.com</t>
  </si>
  <si>
    <t>9876543262</t>
  </si>
  <si>
    <t>EMP054</t>
  </si>
  <si>
    <t>Kavya Nair 54</t>
  </si>
  <si>
    <t>kavya.nair54@novabridge.com</t>
  </si>
  <si>
    <t>9876543263</t>
  </si>
  <si>
    <t>EMP055</t>
  </si>
  <si>
    <t>Rohan Gupta 55</t>
  </si>
  <si>
    <t>rohan.gupta55@novabridge.com</t>
  </si>
  <si>
    <t>9876543264</t>
  </si>
  <si>
    <t>EMP056</t>
  </si>
  <si>
    <t>Isha Verma 56</t>
  </si>
  <si>
    <t>isha.verma56@novabridge.com</t>
  </si>
  <si>
    <t>9876543265</t>
  </si>
  <si>
    <t>EMP057</t>
  </si>
  <si>
    <t>Dev Malhotra 57</t>
  </si>
  <si>
    <t>dev.malhotra57@novabridge.com</t>
  </si>
  <si>
    <t>9876543266</t>
  </si>
  <si>
    <t>EMP058</t>
  </si>
  <si>
    <t>Nisha Rao 58</t>
  </si>
  <si>
    <t>nisha.rao58@novabridge.com</t>
  </si>
  <si>
    <t>9876543267</t>
  </si>
  <si>
    <t>EMP059</t>
  </si>
  <si>
    <t>Yash Jain 59</t>
  </si>
  <si>
    <t>yash.jain59@novabridge.com</t>
  </si>
  <si>
    <t>9876543268</t>
  </si>
  <si>
    <t>EMP060</t>
  </si>
  <si>
    <t>Ananya Bose 60</t>
  </si>
  <si>
    <t>ananya.bose60@novabridge.com</t>
  </si>
  <si>
    <t>9876543269</t>
  </si>
  <si>
    <t>EMP061</t>
  </si>
  <si>
    <t>Aarav Sharma 61</t>
  </si>
  <si>
    <t>aarav.sharma61@novabridge.com</t>
  </si>
  <si>
    <t>9876543270</t>
  </si>
  <si>
    <t>EMP062</t>
  </si>
  <si>
    <t>Meera Patel 62</t>
  </si>
  <si>
    <t>meera.patel62@novabridge.com</t>
  </si>
  <si>
    <t>9876543271</t>
  </si>
  <si>
    <t>EMP063</t>
  </si>
  <si>
    <t>Arjun Singh 63</t>
  </si>
  <si>
    <t>arjun.singh63@novabridge.com</t>
  </si>
  <si>
    <t>9876543272</t>
  </si>
  <si>
    <t>EMP064</t>
  </si>
  <si>
    <t>Kavya Nair 64</t>
  </si>
  <si>
    <t>kavya.nair64@novabridge.com</t>
  </si>
  <si>
    <t>9876543273</t>
  </si>
  <si>
    <t>EMP065</t>
  </si>
  <si>
    <t>Rohan Gupta 65</t>
  </si>
  <si>
    <t>rohan.gupta65@novabridge.com</t>
  </si>
  <si>
    <t>9876543274</t>
  </si>
  <si>
    <t>EMP066</t>
  </si>
  <si>
    <t>Isha Verma 66</t>
  </si>
  <si>
    <t>isha.verma66@novabridge.com</t>
  </si>
  <si>
    <t>9876543275</t>
  </si>
  <si>
    <t>EMP067</t>
  </si>
  <si>
    <t>Dev Malhotra 67</t>
  </si>
  <si>
    <t>dev.malhotra67@novabridge.com</t>
  </si>
  <si>
    <t>9876543276</t>
  </si>
  <si>
    <t>EMP068</t>
  </si>
  <si>
    <t>Nisha Rao 68</t>
  </si>
  <si>
    <t>nisha.rao68@novabridge.com</t>
  </si>
  <si>
    <t>9876543277</t>
  </si>
  <si>
    <t>EMP069</t>
  </si>
  <si>
    <t>Yash Jain 69</t>
  </si>
  <si>
    <t>yash.jain69@novabridge.com</t>
  </si>
  <si>
    <t>9876543278</t>
  </si>
  <si>
    <t>EMP070</t>
  </si>
  <si>
    <t>Ananya Bose 70</t>
  </si>
  <si>
    <t>ananya.bose70@novabridge.com</t>
  </si>
  <si>
    <t>9876543279</t>
  </si>
  <si>
    <t>EMP071</t>
  </si>
  <si>
    <t>Aarav Sharma 71</t>
  </si>
  <si>
    <t>aarav.sharma71@novabridge.com</t>
  </si>
  <si>
    <t>9876543280</t>
  </si>
  <si>
    <t>EMP072</t>
  </si>
  <si>
    <t>Meera Patel 72</t>
  </si>
  <si>
    <t>meera.patel72@novabridge.com</t>
  </si>
  <si>
    <t>9876543281</t>
  </si>
  <si>
    <t>EMP073</t>
  </si>
  <si>
    <t>Arjun Singh 73</t>
  </si>
  <si>
    <t>arjun.singh73@novabridge.com</t>
  </si>
  <si>
    <t>9876543282</t>
  </si>
  <si>
    <t>EMP074</t>
  </si>
  <si>
    <t>Kavya Nair 74</t>
  </si>
  <si>
    <t>kavya.nair74@novabridge.com</t>
  </si>
  <si>
    <t>9876543283</t>
  </si>
  <si>
    <t>EMP075</t>
  </si>
  <si>
    <t>Rohan Gupta 75</t>
  </si>
  <si>
    <t>rohan.gupta75@novabridge.com</t>
  </si>
  <si>
    <t>9876543284</t>
  </si>
  <si>
    <t>EMP076</t>
  </si>
  <si>
    <t>Isha Verma 76</t>
  </si>
  <si>
    <t>isha.verma76@novabridge.com</t>
  </si>
  <si>
    <t>9876543285</t>
  </si>
  <si>
    <t>EMP077</t>
  </si>
  <si>
    <t>Dev Malhotra 77</t>
  </si>
  <si>
    <t>dev.malhotra77@novabridge.com</t>
  </si>
  <si>
    <t>9876543286</t>
  </si>
  <si>
    <t>EMP078</t>
  </si>
  <si>
    <t>Nisha Rao 78</t>
  </si>
  <si>
    <t>nisha.rao78@novabridge.com</t>
  </si>
  <si>
    <t>9876543287</t>
  </si>
  <si>
    <t>EMP079</t>
  </si>
  <si>
    <t>Yash Jain 79</t>
  </si>
  <si>
    <t>yash.jain79@novabridge.com</t>
  </si>
  <si>
    <t>9876543288</t>
  </si>
  <si>
    <t>EMP080</t>
  </si>
  <si>
    <t>Ananya Bose 80</t>
  </si>
  <si>
    <t>ananya.bose80@novabridge.com</t>
  </si>
  <si>
    <t>9876543289</t>
  </si>
  <si>
    <t>EMP081</t>
  </si>
  <si>
    <t>Aarav Sharma 81</t>
  </si>
  <si>
    <t>aarav.sharma81@novabridge.com</t>
  </si>
  <si>
    <t>9876543290</t>
  </si>
  <si>
    <t>EMP082</t>
  </si>
  <si>
    <t>Meera Patel 82</t>
  </si>
  <si>
    <t>meera.patel82@novabridge.com</t>
  </si>
  <si>
    <t>9876543291</t>
  </si>
  <si>
    <t>EMP083</t>
  </si>
  <si>
    <t>Arjun Singh 83</t>
  </si>
  <si>
    <t>arjun.singh83@novabridge.com</t>
  </si>
  <si>
    <t>9876543292</t>
  </si>
  <si>
    <t>EMP084</t>
  </si>
  <si>
    <t>Kavya Nair 84</t>
  </si>
  <si>
    <t>kavya.nair84@novabridge.com</t>
  </si>
  <si>
    <t>9876543293</t>
  </si>
  <si>
    <t>EMP085</t>
  </si>
  <si>
    <t>Rohan Gupta 85</t>
  </si>
  <si>
    <t>rohan.gupta85@novabridge.com</t>
  </si>
  <si>
    <t>9876543294</t>
  </si>
  <si>
    <t>EMP086</t>
  </si>
  <si>
    <t>Isha Verma 86</t>
  </si>
  <si>
    <t>isha.verma86@novabridge.com</t>
  </si>
  <si>
    <t>9876543295</t>
  </si>
  <si>
    <t>EMP087</t>
  </si>
  <si>
    <t>Dev Malhotra 87</t>
  </si>
  <si>
    <t>dev.malhotra87@novabridge.com</t>
  </si>
  <si>
    <t>9876543296</t>
  </si>
  <si>
    <t>EMP088</t>
  </si>
  <si>
    <t>Nisha Rao 88</t>
  </si>
  <si>
    <t>nisha.rao88@novabridge.com</t>
  </si>
  <si>
    <t>9876543297</t>
  </si>
  <si>
    <t>EMP089</t>
  </si>
  <si>
    <t>Yash Jain 89</t>
  </si>
  <si>
    <t>yash.jain89@novabridge.com</t>
  </si>
  <si>
    <t>9876543298</t>
  </si>
  <si>
    <t>EMP090</t>
  </si>
  <si>
    <t>Ananya Bose 90</t>
  </si>
  <si>
    <t>ananya.bose90@novabridge.com</t>
  </si>
  <si>
    <t>9876543299</t>
  </si>
  <si>
    <t>EMP091</t>
  </si>
  <si>
    <t>Aarav Sharma 91</t>
  </si>
  <si>
    <t>aarav.sharma91@novabridge.com</t>
  </si>
  <si>
    <t>9876543300</t>
  </si>
  <si>
    <t>EMP092</t>
  </si>
  <si>
    <t>Meera Patel 92</t>
  </si>
  <si>
    <t>meera.patel92@novabridge.com</t>
  </si>
  <si>
    <t>9876543301</t>
  </si>
  <si>
    <t>EMP093</t>
  </si>
  <si>
    <t>Arjun Singh 93</t>
  </si>
  <si>
    <t>arjun.singh93@novabridge.com</t>
  </si>
  <si>
    <t>9876543302</t>
  </si>
  <si>
    <t>EMP094</t>
  </si>
  <si>
    <t>Kavya Nair 94</t>
  </si>
  <si>
    <t>kavya.nair94@novabridge.com</t>
  </si>
  <si>
    <t>9876543303</t>
  </si>
  <si>
    <t>EMP095</t>
  </si>
  <si>
    <t>Rohan Gupta 95</t>
  </si>
  <si>
    <t>rohan.gupta95@novabridge.com</t>
  </si>
  <si>
    <t>9876543304</t>
  </si>
  <si>
    <t>EMP096</t>
  </si>
  <si>
    <t>Isha Verma 96</t>
  </si>
  <si>
    <t>isha.verma96@novabridge.com</t>
  </si>
  <si>
    <t>9876543305</t>
  </si>
  <si>
    <t>EMP097</t>
  </si>
  <si>
    <t>Dev Malhotra 97</t>
  </si>
  <si>
    <t>dev.malhotra97@novabridge.com</t>
  </si>
  <si>
    <t>9876543306</t>
  </si>
  <si>
    <t>EMP098</t>
  </si>
  <si>
    <t>Nisha Rao 98</t>
  </si>
  <si>
    <t>nisha.rao98@novabridge.com</t>
  </si>
  <si>
    <t>9876543307</t>
  </si>
  <si>
    <t>EMP099</t>
  </si>
  <si>
    <t>Yash Jain 99</t>
  </si>
  <si>
    <t>yash.jain99@novabridge.com</t>
  </si>
  <si>
    <t>9876543308</t>
  </si>
  <si>
    <t>EMP100</t>
  </si>
  <si>
    <t>Ananya Bose 100</t>
  </si>
  <si>
    <t>ananya.bose100@novabridge.com</t>
  </si>
  <si>
    <t>9876543309</t>
  </si>
  <si>
    <t>EMP101</t>
  </si>
  <si>
    <t>Aarav Sharma 101</t>
  </si>
  <si>
    <t>aarav.sharma101@novabridge.com</t>
  </si>
  <si>
    <t>9876543310</t>
  </si>
  <si>
    <t>EMP102</t>
  </si>
  <si>
    <t>Meera Patel 102</t>
  </si>
  <si>
    <t>meera.patel102@novabridge.com</t>
  </si>
  <si>
    <t>9876543311</t>
  </si>
  <si>
    <t>EMP103</t>
  </si>
  <si>
    <t>Arjun Singh 103</t>
  </si>
  <si>
    <t>arjun.singh103@novabridge.com</t>
  </si>
  <si>
    <t>9876543312</t>
  </si>
  <si>
    <t>EMP104</t>
  </si>
  <si>
    <t>Kavya Nair 104</t>
  </si>
  <si>
    <t>kavya.nair104@novabridge.com</t>
  </si>
  <si>
    <t>9876543313</t>
  </si>
  <si>
    <t>EMP105</t>
  </si>
  <si>
    <t>Rohan Gupta 105</t>
  </si>
  <si>
    <t>rohan.gupta105@novabridge.com</t>
  </si>
  <si>
    <t>9876543314</t>
  </si>
  <si>
    <t>EMP106</t>
  </si>
  <si>
    <t>Isha Verma 106</t>
  </si>
  <si>
    <t>isha.verma106@novabridge.com</t>
  </si>
  <si>
    <t>9876543315</t>
  </si>
  <si>
    <t>EMP107</t>
  </si>
  <si>
    <t>Dev Malhotra 107</t>
  </si>
  <si>
    <t>dev.malhotra107@novabridge.com</t>
  </si>
  <si>
    <t>9876543316</t>
  </si>
  <si>
    <t>EMP108</t>
  </si>
  <si>
    <t>Nisha Rao 108</t>
  </si>
  <si>
    <t>nisha.rao108@novabridge.com</t>
  </si>
  <si>
    <t>9876543317</t>
  </si>
  <si>
    <t>EMP109</t>
  </si>
  <si>
    <t>Yash Jain 109</t>
  </si>
  <si>
    <t>yash.jain109@novabridge.com</t>
  </si>
  <si>
    <t>9876543318</t>
  </si>
  <si>
    <t>EMP110</t>
  </si>
  <si>
    <t>Ananya Bose 110</t>
  </si>
  <si>
    <t>ananya.bose110@novabridge.com</t>
  </si>
  <si>
    <t>9876543319</t>
  </si>
  <si>
    <t>Employee Name</t>
  </si>
  <si>
    <t>Total Employees</t>
  </si>
  <si>
    <t>Active Employees</t>
  </si>
  <si>
    <t>Grand Total</t>
  </si>
  <si>
    <t>Employees On Leave</t>
  </si>
  <si>
    <t>People By Department</t>
  </si>
  <si>
    <t>Full-Time Employees</t>
  </si>
  <si>
    <t>Contract Employees</t>
  </si>
  <si>
    <t>Interns</t>
  </si>
  <si>
    <t>Departments</t>
  </si>
  <si>
    <t>Employees By City</t>
  </si>
  <si>
    <t>Cities Covered</t>
  </si>
  <si>
    <t>Avg Years of Service</t>
  </si>
  <si>
    <t>Employment Type Distribution</t>
  </si>
  <si>
    <t>Managers</t>
  </si>
  <si>
    <t>Latest Join Date</t>
  </si>
  <si>
    <t>Employee Status</t>
  </si>
  <si>
    <t>Oldest Join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</si>
</sst>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m-yyyy"/>
    <numFmt numFmtId="165" formatCode="d-mmm-yyyy"/>
    <numFmt numFmtId="166" formatCode="dd-mmmm-yyyy"/>
  </numFmts>
  <fonts count="9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49" xfId="0" applyAlignment="1" applyFont="1" applyNumberFormat="1">
      <alignment horizontal="center" readingOrder="0"/>
    </xf>
    <xf borderId="0" fillId="2" fontId="2" numFmtId="0" xfId="0" applyFont="1"/>
    <xf borderId="0" fillId="3" fontId="3" numFmtId="0" xfId="0" applyAlignment="1" applyFill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3" fontId="3" numFmtId="49" xfId="0" applyAlignment="1" applyFont="1" applyNumberFormat="1">
      <alignment horizontal="center" readingOrder="0"/>
    </xf>
    <xf borderId="0" fillId="3" fontId="3" numFmtId="164" xfId="0" applyAlignment="1" applyFont="1" applyNumberFormat="1">
      <alignment horizontal="center" readingOrder="0"/>
    </xf>
    <xf borderId="0" fillId="3" fontId="3" numFmtId="4" xfId="0" applyAlignment="1" applyFont="1" applyNumberFormat="1">
      <alignment horizontal="center"/>
    </xf>
    <xf borderId="0" fillId="3" fontId="3" numFmtId="0" xfId="0" applyFont="1"/>
    <xf borderId="0" fillId="4" fontId="3" numFmtId="0" xfId="0" applyAlignment="1" applyFill="1" applyFont="1">
      <alignment horizontal="center" readingOrder="0"/>
    </xf>
    <xf borderId="0" fillId="4" fontId="5" numFmtId="0" xfId="0" applyAlignment="1" applyFont="1">
      <alignment horizontal="center" readingOrder="0"/>
    </xf>
    <xf borderId="0" fillId="4" fontId="3" numFmtId="49" xfId="0" applyAlignment="1" applyFont="1" applyNumberFormat="1">
      <alignment horizontal="center" readingOrder="0"/>
    </xf>
    <xf borderId="0" fillId="4" fontId="3" numFmtId="165" xfId="0" applyAlignment="1" applyFont="1" applyNumberFormat="1">
      <alignment horizontal="center" readingOrder="0"/>
    </xf>
    <xf borderId="0" fillId="4" fontId="3" numFmtId="4" xfId="0" applyAlignment="1" applyFont="1" applyNumberFormat="1">
      <alignment horizontal="center"/>
    </xf>
    <xf borderId="0" fillId="4" fontId="3" numFmtId="0" xfId="0" applyFont="1"/>
    <xf borderId="0" fillId="3" fontId="3" numFmtId="165" xfId="0" applyAlignment="1" applyFont="1" applyNumberFormat="1">
      <alignment horizontal="center" readingOrder="0"/>
    </xf>
    <xf borderId="0" fillId="3" fontId="3" numFmtId="166" xfId="0" applyAlignment="1" applyFont="1" applyNumberFormat="1">
      <alignment horizontal="center" readingOrder="0"/>
    </xf>
    <xf borderId="0" fillId="4" fontId="3" numFmtId="164" xfId="0" applyAlignment="1" applyFont="1" applyNumberFormat="1">
      <alignment horizontal="center" readingOrder="0"/>
    </xf>
    <xf borderId="0" fillId="3" fontId="3" numFmtId="0" xfId="0" applyAlignment="1" applyFont="1">
      <alignment horizontal="center"/>
    </xf>
    <xf borderId="0" fillId="4" fontId="3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horizontal="right" readingOrder="0"/>
    </xf>
    <xf borderId="0" fillId="0" fontId="7" numFmtId="0" xfId="0" applyAlignment="1" applyFont="1">
      <alignment horizontal="right"/>
    </xf>
    <xf borderId="0" fillId="0" fontId="3" numFmtId="0" xfId="0" applyFont="1"/>
    <xf borderId="0" fillId="0" fontId="7" numFmtId="4" xfId="0" applyAlignment="1" applyFont="1" applyNumberFormat="1">
      <alignment horizontal="right"/>
    </xf>
    <xf borderId="0" fillId="0" fontId="7" numFmtId="164" xfId="0" applyAlignment="1" applyFont="1" applyNumberFormat="1">
      <alignment horizontal="right"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2">
    <tableStyle count="3" pivot="0" name="Employee Search-style">
      <tableStyleElement dxfId="4" type="headerRow"/>
      <tableStyleElement dxfId="5" type="firstRowStripe"/>
      <tableStyleElement dxfId="6" type="secondRowStripe"/>
    </tableStyle>
    <tableStyle count="2" pivot="0" name="HR Dashboard-style">
      <tableStyleElement dxfId="5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'HR Dashboard'!$E$2:$E$3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'HR Dashboard'!$D$4</c:f>
            </c:strRef>
          </c:cat>
          <c:val>
            <c:numRef>
              <c:f>'HR Dashboard'!$E$4</c:f>
              <c:numCache/>
            </c:numRef>
          </c:val>
        </c:ser>
        <c:ser>
          <c:idx val="1"/>
          <c:order val="1"/>
          <c:tx>
            <c:strRef>
              <c:f>'HR Dashboard'!$F$2:$F$3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'HR Dashboard'!$D$4</c:f>
            </c:strRef>
          </c:cat>
          <c:val>
            <c:numRef>
              <c:f>'HR Dashboard'!$F$4</c:f>
              <c:numCache/>
            </c:numRef>
          </c:val>
        </c:ser>
        <c:ser>
          <c:idx val="2"/>
          <c:order val="2"/>
          <c:tx>
            <c:strRef>
              <c:f>'HR Dashboard'!$G$2:$G$3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'HR Dashboard'!$D$4</c:f>
            </c:strRef>
          </c:cat>
          <c:val>
            <c:numRef>
              <c:f>'HR Dashboard'!$G$4</c:f>
              <c:numCache/>
            </c:numRef>
          </c:val>
        </c:ser>
        <c:ser>
          <c:idx val="3"/>
          <c:order val="3"/>
          <c:tx>
            <c:strRef>
              <c:f>'HR Dashboard'!$H$2:$H$3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'HR Dashboard'!$D$4</c:f>
            </c:strRef>
          </c:cat>
          <c:val>
            <c:numRef>
              <c:f>'HR Dashboard'!$H$4</c:f>
              <c:numCache/>
            </c:numRef>
          </c:val>
        </c:ser>
        <c:ser>
          <c:idx val="4"/>
          <c:order val="4"/>
          <c:tx>
            <c:strRef>
              <c:f>'HR Dashboard'!$I$2:$I$3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'HR Dashboard'!$D$4</c:f>
            </c:strRef>
          </c:cat>
          <c:val>
            <c:numRef>
              <c:f>'HR Dashboard'!$I$4</c:f>
              <c:numCache/>
            </c:numRef>
          </c:val>
        </c:ser>
        <c:ser>
          <c:idx val="5"/>
          <c:order val="5"/>
          <c:tx>
            <c:strRef>
              <c:f>'HR Dashboard'!$J$2:$J$3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'HR Dashboard'!$D$4</c:f>
            </c:strRef>
          </c:cat>
          <c:val>
            <c:numRef>
              <c:f>'HR Dashboard'!$J$4</c:f>
              <c:numCache/>
            </c:numRef>
          </c:val>
        </c:ser>
        <c:ser>
          <c:idx val="6"/>
          <c:order val="6"/>
          <c:tx>
            <c:strRef>
              <c:f>'HR Dashboard'!$K$2:$K$3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'HR Dashboard'!$D$4</c:f>
            </c:strRef>
          </c:cat>
          <c:val>
            <c:numRef>
              <c:f>'HR Dashboard'!$K$4</c:f>
              <c:numCache/>
            </c:numRef>
          </c:val>
        </c:ser>
        <c:axId val="956561269"/>
        <c:axId val="1390561390"/>
      </c:barChart>
      <c:catAx>
        <c:axId val="956561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0561390"/>
      </c:catAx>
      <c:valAx>
        <c:axId val="13905613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65612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Employment Type Distribution</a:t>
            </a:r>
          </a:p>
        </c:rich>
      </c:tx>
      <c:overlay val="0"/>
    </c:title>
    <c:plotArea>
      <c:layout>
        <c:manualLayout>
          <c:xMode val="edge"/>
          <c:yMode val="edge"/>
          <c:x val="0.01727688787185355"/>
          <c:y val="0.13868388683886837"/>
          <c:w val="0.9379862700228833"/>
          <c:h val="0.7928659286592866"/>
        </c:manualLayout>
      </c:layout>
      <c:pieChart>
        <c:varyColors val="1"/>
        <c:ser>
          <c:idx val="0"/>
          <c:order val="0"/>
          <c:tx>
            <c:strRef>
              <c:f>'HR Dashboard'!$E$10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'HR Dashboard'!$D$11:$D$13</c:f>
            </c:strRef>
          </c:cat>
          <c:val>
            <c:numRef>
              <c:f>'HR Dashboard'!$E$11:$E$13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'HR Dashboard'!$E$6:$E$7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'HR Dashboard'!$D$8</c:f>
            </c:strRef>
          </c:cat>
          <c:val>
            <c:numRef>
              <c:f>'HR Dashboard'!$E$8</c:f>
              <c:numCache/>
            </c:numRef>
          </c:val>
        </c:ser>
        <c:ser>
          <c:idx val="1"/>
          <c:order val="1"/>
          <c:tx>
            <c:strRef>
              <c:f>'HR Dashboard'!$F$6:$F$7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'HR Dashboard'!$D$8</c:f>
            </c:strRef>
          </c:cat>
          <c:val>
            <c:numRef>
              <c:f>'HR Dashboard'!$F$8</c:f>
              <c:numCache/>
            </c:numRef>
          </c:val>
        </c:ser>
        <c:ser>
          <c:idx val="2"/>
          <c:order val="2"/>
          <c:tx>
            <c:strRef>
              <c:f>'HR Dashboard'!$G$6:$G$7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'HR Dashboard'!$D$8</c:f>
            </c:strRef>
          </c:cat>
          <c:val>
            <c:numRef>
              <c:f>'HR Dashboard'!$G$8</c:f>
              <c:numCache/>
            </c:numRef>
          </c:val>
        </c:ser>
        <c:ser>
          <c:idx val="3"/>
          <c:order val="3"/>
          <c:tx>
            <c:strRef>
              <c:f>'HR Dashboard'!$H$6:$H$7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'HR Dashboard'!$D$8</c:f>
            </c:strRef>
          </c:cat>
          <c:val>
            <c:numRef>
              <c:f>'HR Dashboard'!$H$8</c:f>
              <c:numCache/>
            </c:numRef>
          </c:val>
        </c:ser>
        <c:ser>
          <c:idx val="4"/>
          <c:order val="4"/>
          <c:tx>
            <c:strRef>
              <c:f>'HR Dashboard'!$I$6:$I$7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'HR Dashboard'!$D$8</c:f>
            </c:strRef>
          </c:cat>
          <c:val>
            <c:numRef>
              <c:f>'HR Dashboard'!$I$8</c:f>
              <c:numCache/>
            </c:numRef>
          </c:val>
        </c:ser>
        <c:ser>
          <c:idx val="5"/>
          <c:order val="5"/>
          <c:tx>
            <c:strRef>
              <c:f>'HR Dashboard'!$J$6:$J$7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'HR Dashboard'!$D$8</c:f>
            </c:strRef>
          </c:cat>
          <c:val>
            <c:numRef>
              <c:f>'HR Dashboard'!$J$8</c:f>
              <c:numCache/>
            </c:numRef>
          </c:val>
        </c:ser>
        <c:ser>
          <c:idx val="6"/>
          <c:order val="6"/>
          <c:tx>
            <c:strRef>
              <c:f>'HR Dashboard'!$K$6:$K$7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'HR Dashboard'!$D$8</c:f>
            </c:strRef>
          </c:cat>
          <c:val>
            <c:numRef>
              <c:f>'HR Dashboard'!$K$8</c:f>
              <c:numCache/>
            </c:numRef>
          </c:val>
        </c:ser>
        <c:ser>
          <c:idx val="7"/>
          <c:order val="7"/>
          <c:tx>
            <c:strRef>
              <c:f>'HR Dashboard'!$L$6:$L$7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'HR Dashboard'!$D$8</c:f>
            </c:strRef>
          </c:cat>
          <c:val>
            <c:numRef>
              <c:f>'HR Dashboard'!$L$8</c:f>
              <c:numCache/>
            </c:numRef>
          </c:val>
        </c:ser>
        <c:ser>
          <c:idx val="8"/>
          <c:order val="8"/>
          <c:tx>
            <c:strRef>
              <c:f>'HR Dashboard'!$M$6:$M$7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'HR Dashboard'!$D$8</c:f>
            </c:strRef>
          </c:cat>
          <c:val>
            <c:numRef>
              <c:f>'HR Dashboard'!$M$8</c:f>
              <c:numCache/>
            </c:numRef>
          </c:val>
        </c:ser>
        <c:axId val="1915026992"/>
        <c:axId val="1820815014"/>
      </c:barChart>
      <c:catAx>
        <c:axId val="1915026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0815014"/>
      </c:catAx>
      <c:valAx>
        <c:axId val="18208150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50269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'HR Dashboard'!$H$10:$H$11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'HR Dashboard'!$G$12</c:f>
            </c:strRef>
          </c:cat>
          <c:val>
            <c:numRef>
              <c:f>'HR Dashboard'!$H$12</c:f>
              <c:numCache/>
            </c:numRef>
          </c:val>
        </c:ser>
        <c:ser>
          <c:idx val="1"/>
          <c:order val="1"/>
          <c:tx>
            <c:strRef>
              <c:f>'HR Dashboard'!$I$10:$I$11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'HR Dashboard'!$G$12</c:f>
            </c:strRef>
          </c:cat>
          <c:val>
            <c:numRef>
              <c:f>'HR Dashboard'!$I$12</c:f>
              <c:numCache/>
            </c:numRef>
          </c:val>
        </c:ser>
        <c:axId val="1755308509"/>
        <c:axId val="120621399"/>
      </c:barChart>
      <c:catAx>
        <c:axId val="17553085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621399"/>
      </c:catAx>
      <c:valAx>
        <c:axId val="1206213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53085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14</xdr:row>
      <xdr:rowOff>190500</xdr:rowOff>
    </xdr:from>
    <xdr:ext cx="5734050" cy="3667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32</xdr:row>
      <xdr:rowOff>200025</xdr:rowOff>
    </xdr:from>
    <xdr:ext cx="5762625" cy="3590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666750</xdr:colOff>
      <xdr:row>32</xdr:row>
      <xdr:rowOff>200025</xdr:rowOff>
    </xdr:from>
    <xdr:ext cx="5248275" cy="35909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666750</xdr:colOff>
      <xdr:row>14</xdr:row>
      <xdr:rowOff>190500</xdr:rowOff>
    </xdr:from>
    <xdr:ext cx="5248275" cy="36671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11" sheet="Sheet1"/>
  </cacheSource>
  <cacheFields>
    <cacheField name="Employee ID" numFmtId="0">
      <sharedItems>
        <s v="EMP001"/>
        <s v="EMP002"/>
        <s v="EMP003"/>
        <s v="EMP004"/>
        <s v="EMP005"/>
        <s v="EMP006"/>
        <s v="EMP007"/>
        <s v="EMP008"/>
        <s v="EMP009"/>
        <s v="EMP010"/>
        <s v="EMP011"/>
        <s v="EMP012"/>
        <s v="EMP013"/>
        <s v="EMP014"/>
        <s v="EMP015"/>
        <s v="EMP016"/>
        <s v="EMP017"/>
        <s v="EMP018"/>
        <s v="EMP019"/>
        <s v="EMP020"/>
        <s v="EMP021"/>
        <s v="EMP022"/>
        <s v="EMP023"/>
        <s v="EMP024"/>
        <s v="EMP025"/>
        <s v="EMP026"/>
        <s v="EMP027"/>
        <s v="EMP028"/>
        <s v="EMP029"/>
        <s v="EMP030"/>
        <s v="EMP031"/>
        <s v="EMP032"/>
        <s v="EMP033"/>
        <s v="EMP034"/>
        <s v="EMP035"/>
        <s v="EMP036"/>
        <s v="EMP037"/>
        <s v="EMP038"/>
        <s v="EMP039"/>
        <s v="EMP040"/>
        <s v="EMP041"/>
        <s v="EMP042"/>
        <s v="EMP043"/>
        <s v="EMP044"/>
        <s v="EMP045"/>
        <s v="EMP046"/>
        <s v="EMP047"/>
        <s v="EMP048"/>
        <s v="EMP049"/>
        <s v="EMP050"/>
        <s v="EMP051"/>
        <s v="EMP052"/>
        <s v="EMP053"/>
        <s v="EMP054"/>
        <s v="EMP055"/>
        <s v="EMP056"/>
        <s v="EMP057"/>
        <s v="EMP058"/>
        <s v="EMP059"/>
        <s v="EMP060"/>
        <s v="EMP061"/>
        <s v="EMP062"/>
        <s v="EMP063"/>
        <s v="EMP064"/>
        <s v="EMP065"/>
        <s v="EMP066"/>
        <s v="EMP067"/>
        <s v="EMP068"/>
        <s v="EMP069"/>
        <s v="EMP070"/>
        <s v="EMP071"/>
        <s v="EMP072"/>
        <s v="EMP073"/>
        <s v="EMP074"/>
        <s v="EMP075"/>
        <s v="EMP076"/>
        <s v="EMP077"/>
        <s v="EMP078"/>
        <s v="EMP079"/>
        <s v="EMP080"/>
        <s v="EMP081"/>
        <s v="EMP082"/>
        <s v="EMP083"/>
        <s v="EMP084"/>
        <s v="EMP085"/>
        <s v="EMP086"/>
        <s v="EMP087"/>
        <s v="EMP088"/>
        <s v="EMP089"/>
        <s v="EMP090"/>
        <s v="EMP091"/>
        <s v="EMP092"/>
        <s v="EMP093"/>
        <s v="EMP094"/>
        <s v="EMP095"/>
        <s v="EMP096"/>
        <s v="EMP097"/>
        <s v="EMP098"/>
        <s v="EMP099"/>
        <s v="EMP100"/>
        <s v="EMP101"/>
        <s v="EMP102"/>
        <s v="EMP103"/>
        <s v="EMP104"/>
        <s v="EMP105"/>
        <s v="EMP106"/>
        <s v="EMP107"/>
        <s v="EMP108"/>
        <s v="EMP109"/>
        <s v="EMP110"/>
      </sharedItems>
    </cacheField>
    <cacheField name="Full Name" numFmtId="0">
      <sharedItems>
        <s v="Aarav Sharma"/>
        <s v="Meera Patel"/>
        <s v="Arjun Singh"/>
        <s v="Kavya Nair"/>
        <s v="Rohan Gupta"/>
        <s v="Isha Verma"/>
        <s v="Dev Malhotra"/>
        <s v="Nisha Rao"/>
        <s v="Yash Jain"/>
        <s v="Ananya Bose"/>
        <s v="Aarav Sharma 11"/>
        <s v="Meera Patel 12"/>
        <s v="Arjun Singh 13"/>
        <s v="Kavya Nair 14"/>
        <s v="Rohan Gupta 15"/>
        <s v="Isha Verma 16"/>
        <s v="Dev Malhotra 17"/>
        <s v="Nisha Rao 18"/>
        <s v="Yash Jain 19"/>
        <s v="Ananya Bose 20"/>
        <s v="Aarav Sharma 21"/>
        <s v="Meera Patel 22"/>
        <s v="Arjun Singh 23"/>
        <s v="Kavya Nair 24"/>
        <s v="Rohan Gupta 25"/>
        <s v="Isha Verma 26"/>
        <s v="Dev Malhotra 27"/>
        <s v="Nisha Rao 28"/>
        <s v="Yash Jain 29"/>
        <s v="Ananya Bose 30"/>
        <s v="Aarav Sharma 31"/>
        <s v="Meera Patel 32"/>
        <s v="Arjun Singh 33"/>
        <s v="Kavya Nair 34"/>
        <s v="Rohan Gupta 35"/>
        <s v="Isha Verma 36"/>
        <s v="Dev Malhotra 37"/>
        <s v="Nisha Rao 38"/>
        <s v="Yash Jain 39"/>
        <s v="Ananya Bose 40"/>
        <s v="Aarav Sharma 41"/>
        <s v="Meera Patel 42"/>
        <s v="Arjun Singh 43"/>
        <s v="Kavya Nair 44"/>
        <s v="Rohan Gupta 45"/>
        <s v="Isha Verma 46"/>
        <s v="Dev Malhotra 47"/>
        <s v="Nisha Rao 48"/>
        <s v="Yash Jain 49"/>
        <s v="Ananya Bose 50"/>
        <s v="Aarav Sharma 51"/>
        <s v="Meera Patel 52"/>
        <s v="Arjun Singh 53"/>
        <s v="Kavya Nair 54"/>
        <s v="Rohan Gupta 55"/>
        <s v="Isha Verma 56"/>
        <s v="Dev Malhotra 57"/>
        <s v="Nisha Rao 58"/>
        <s v="Yash Jain 59"/>
        <s v="Ananya Bose 60"/>
        <s v="Aarav Sharma 61"/>
        <s v="Meera Patel 62"/>
        <s v="Arjun Singh 63"/>
        <s v="Kavya Nair 64"/>
        <s v="Rohan Gupta 65"/>
        <s v="Isha Verma 66"/>
        <s v="Dev Malhotra 67"/>
        <s v="Nisha Rao 68"/>
        <s v="Yash Jain 69"/>
        <s v="Ananya Bose 70"/>
        <s v="Aarav Sharma 71"/>
        <s v="Meera Patel 72"/>
        <s v="Arjun Singh 73"/>
        <s v="Kavya Nair 74"/>
        <s v="Rohan Gupta 75"/>
        <s v="Isha Verma 76"/>
        <s v="Dev Malhotra 77"/>
        <s v="Nisha Rao 78"/>
        <s v="Yash Jain 79"/>
        <s v="Ananya Bose 80"/>
        <s v="Aarav Sharma 81"/>
        <s v="Meera Patel 82"/>
        <s v="Arjun Singh 83"/>
        <s v="Kavya Nair 84"/>
        <s v="Rohan Gupta 85"/>
        <s v="Isha Verma 86"/>
        <s v="Dev Malhotra 87"/>
        <s v="Nisha Rao 88"/>
        <s v="Yash Jain 89"/>
        <s v="Ananya Bose 90"/>
        <s v="Aarav Sharma 91"/>
        <s v="Meera Patel 92"/>
        <s v="Arjun Singh 93"/>
        <s v="Kavya Nair 94"/>
        <s v="Rohan Gupta 95"/>
        <s v="Isha Verma 96"/>
        <s v="Dev Malhotra 97"/>
        <s v="Nisha Rao 98"/>
        <s v="Yash Jain 99"/>
        <s v="Ananya Bose 100"/>
        <s v="Aarav Sharma 101"/>
        <s v="Meera Patel 102"/>
        <s v="Arjun Singh 103"/>
        <s v="Kavya Nair 104"/>
        <s v="Rohan Gupta 105"/>
        <s v="Isha Verma 106"/>
        <s v="Dev Malhotra 107"/>
        <s v="Nisha Rao 108"/>
        <s v="Yash Jain 109"/>
        <s v="Ananya Bose 110"/>
      </sharedItems>
    </cacheField>
    <cacheField name="Department" numFmtId="0">
      <sharedItems>
        <s v="Operations"/>
        <s v="HR"/>
        <s v="Finance"/>
        <s v="IT"/>
        <s v="Marketing"/>
        <s v="Customer Support"/>
        <s v="Administration"/>
      </sharedItems>
    </cacheField>
    <cacheField name="Job Title" numFmtId="0">
      <sharedItems>
        <s v="Operations Executive"/>
        <s v="HR Associate"/>
        <s v="Finance Analyst"/>
        <s v="IT Support Executive"/>
        <s v="Marketing Coordinator"/>
        <s v="Support Executive"/>
        <s v="Admin Executive"/>
        <s v="Operations Analyst"/>
        <s v="Accounts Executive"/>
        <s v="Talent Acquisition Associate"/>
      </sharedItems>
    </cacheField>
    <cacheField name="Manager" numFmtId="0">
      <sharedItems>
        <s v="Priya Kapoor"/>
        <s v="Rahul Mehta"/>
        <s v="Neha Verma"/>
        <s v="Aman Khanna"/>
        <s v="Sneha Joshi"/>
        <s v="Vikram Shah"/>
      </sharedItems>
    </cacheField>
    <cacheField name="Email" numFmtId="0">
      <sharedItems>
        <s v="aarav.sharma@novabridge.com"/>
        <s v="meera.patel@novabridge.com"/>
        <s v="arjun.singh@novabridge.com"/>
        <s v="kavya.nair@novabridge.com"/>
        <s v="rohan.gupta@novabridge.com"/>
        <s v="isha.verma@novabridge.com"/>
        <s v="dev.malhotra@novabridge.com"/>
        <s v="nisha.rao@novabridge.com"/>
        <s v="yash.jain@novabridge.com"/>
        <s v="ananya.bose@novabridge.com"/>
        <s v="aarav.sharma11@novabridge.com"/>
        <s v="meera.patel12@novabridge.com"/>
        <s v="arjun.singh13@novabridge.com"/>
        <s v="kavya.nair14@novabridge.com"/>
        <s v="rohan.gupta15@novabridge.com"/>
        <s v="isha.verma16@novabridge.com"/>
        <s v="dev.malhotra17@novabridge.com"/>
        <s v="nisha.rao18@novabridge.com"/>
        <s v="yash.jain19@novabridge.com"/>
        <s v="ananya.bose20@novabridge.com"/>
        <s v="aarav.sharma21@novabridge.com"/>
        <s v="meera.patel22@novabridge.com"/>
        <s v="arjun.singh23@novabridge.com"/>
        <s v="kavya.nair24@novabridge.com"/>
        <s v="rohan.gupta25@novabridge.com"/>
        <s v="isha.verma26@novabridge.com"/>
        <s v="dev.malhotra27@novabridge.com"/>
        <s v="nisha.rao28@novabridge.com"/>
        <s v="yash.jain29@novabridge.com"/>
        <s v="ananya.bose30@novabridge.com"/>
        <s v="aarav.sharma31@novabridge.com"/>
        <s v="meera.patel32@novabridge.com"/>
        <s v="arjun.singh33@novabridge.com"/>
        <s v="kavya.nair34@novabridge.com"/>
        <s v="rohan.gupta35@novabridge.com"/>
        <s v="isha.verma36@novabridge.com"/>
        <s v="dev.malhotra37@novabridge.com"/>
        <s v="nisha.rao38@novabridge.com"/>
        <s v="yash.jain39@novabridge.com"/>
        <s v="ananya.bose40@novabridge.com"/>
        <s v="aarav.sharma41@novabridge.com"/>
        <s v="meera.patel42@novabridge.com"/>
        <s v="arjun.singh43@novabridge.com"/>
        <s v="kavya.nair44@novabridge.com"/>
        <s v="rohan.gupta45@novabridge.com"/>
        <s v="isha.verma46@novabridge.com"/>
        <s v="dev.malhotra47@novabridge.com"/>
        <s v="nisha.rao48@novabridge.com"/>
        <s v="yash.jain49@novabridge.com"/>
        <s v="ananya.bose50@novabridge.com"/>
        <s v="aarav.sharma51@novabridge.com"/>
        <s v="meera.patel52@novabridge.com"/>
        <s v="arjun.singh53@novabridge.com"/>
        <s v="kavya.nair54@novabridge.com"/>
        <s v="rohan.gupta55@novabridge.com"/>
        <s v="isha.verma56@novabridge.com"/>
        <s v="dev.malhotra57@novabridge.com"/>
        <s v="nisha.rao58@novabridge.com"/>
        <s v="yash.jain59@novabridge.com"/>
        <s v="ananya.bose60@novabridge.com"/>
        <s v="aarav.sharma61@novabridge.com"/>
        <s v="meera.patel62@novabridge.com"/>
        <s v="arjun.singh63@novabridge.com"/>
        <s v="kavya.nair64@novabridge.com"/>
        <s v="rohan.gupta65@novabridge.com"/>
        <s v="isha.verma66@novabridge.com"/>
        <s v="dev.malhotra67@novabridge.com"/>
        <s v="nisha.rao68@novabridge.com"/>
        <s v="yash.jain69@novabridge.com"/>
        <s v="ananya.bose70@novabridge.com"/>
        <s v="aarav.sharma71@novabridge.com"/>
        <s v="meera.patel72@novabridge.com"/>
        <s v="arjun.singh73@novabridge.com"/>
        <s v="kavya.nair74@novabridge.com"/>
        <s v="rohan.gupta75@novabridge.com"/>
        <s v="isha.verma76@novabridge.com"/>
        <s v="dev.malhotra77@novabridge.com"/>
        <s v="nisha.rao78@novabridge.com"/>
        <s v="yash.jain79@novabridge.com"/>
        <s v="ananya.bose80@novabridge.com"/>
        <s v="aarav.sharma81@novabridge.com"/>
        <s v="meera.patel82@novabridge.com"/>
        <s v="arjun.singh83@novabridge.com"/>
        <s v="kavya.nair84@novabridge.com"/>
        <s v="rohan.gupta85@novabridge.com"/>
        <s v="isha.verma86@novabridge.com"/>
        <s v="dev.malhotra87@novabridge.com"/>
        <s v="nisha.rao88@novabridge.com"/>
        <s v="yash.jain89@novabridge.com"/>
        <s v="ananya.bose90@novabridge.com"/>
        <s v="aarav.sharma91@novabridge.com"/>
        <s v="meera.patel92@novabridge.com"/>
        <s v="arjun.singh93@novabridge.com"/>
        <s v="kavya.nair94@novabridge.com"/>
        <s v="rohan.gupta95@novabridge.com"/>
        <s v="isha.verma96@novabridge.com"/>
        <s v="dev.malhotra97@novabridge.com"/>
        <s v="nisha.rao98@novabridge.com"/>
        <s v="yash.jain99@novabridge.com"/>
        <s v="ananya.bose100@novabridge.com"/>
        <s v="aarav.sharma101@novabridge.com"/>
        <s v="meera.patel102@novabridge.com"/>
        <s v="arjun.singh103@novabridge.com"/>
        <s v="kavya.nair104@novabridge.com"/>
        <s v="rohan.gupta105@novabridge.com"/>
        <s v="isha.verma106@novabridge.com"/>
        <s v="dev.malhotra107@novabridge.com"/>
        <s v="nisha.rao108@novabridge.com"/>
        <s v="yash.jain109@novabridge.com"/>
        <s v="ananya.bose110@novabridge.com"/>
      </sharedItems>
    </cacheField>
    <cacheField name="Phone" numFmtId="49">
      <sharedItems>
        <s v="9876543210"/>
        <s v="9876543211"/>
        <s v="9876543212"/>
        <s v="9876543213"/>
        <s v="9876543214"/>
        <s v="9876543215"/>
        <s v="9876543216"/>
        <s v="9876543217"/>
        <s v="9876543218"/>
        <s v="9876543219"/>
        <s v="9876543220"/>
        <s v="9876543221"/>
        <s v="9876543222"/>
        <s v="9876543223"/>
        <s v="9876543224"/>
        <s v="9876543225"/>
        <s v="9876543226"/>
        <s v="9876543227"/>
        <s v="9876543228"/>
        <s v="9876543229"/>
        <s v="9876543230"/>
        <s v="9876543231"/>
        <s v="9876543232"/>
        <s v="9876543233"/>
        <s v="9876543234"/>
        <s v="9876543235"/>
        <s v="9876543236"/>
        <s v="9876543237"/>
        <s v="9876543238"/>
        <s v="9876543239"/>
        <s v="9876543240"/>
        <s v="9876543241"/>
        <s v="9876543242"/>
        <s v="9876543243"/>
        <s v="9876543244"/>
        <s v="9876543245"/>
        <s v="9876543246"/>
        <s v="9876543247"/>
        <s v="9876543248"/>
        <s v="9876543249"/>
        <s v="9876543250"/>
        <s v="9876543251"/>
        <s v="9876543252"/>
        <s v="9876543253"/>
        <s v="9876543254"/>
        <s v="9876543255"/>
        <s v="9876543256"/>
        <s v="9876543257"/>
        <s v="9876543258"/>
        <s v="9876543259"/>
        <s v="9876543260"/>
        <s v="9876543261"/>
        <s v="9876543262"/>
        <s v="9876543263"/>
        <s v="9876543264"/>
        <s v="9876543265"/>
        <s v="9876543266"/>
        <s v="9876543267"/>
        <s v="9876543268"/>
        <s v="9876543269"/>
        <s v="9876543270"/>
        <s v="9876543271"/>
        <s v="9876543272"/>
        <s v="9876543273"/>
        <s v="9876543274"/>
        <s v="9876543275"/>
        <s v="9876543276"/>
        <s v="9876543277"/>
        <s v="9876543278"/>
        <s v="9876543279"/>
        <s v="9876543280"/>
        <s v="9876543281"/>
        <s v="9876543282"/>
        <s v="9876543283"/>
        <s v="9876543284"/>
        <s v="9876543285"/>
        <s v="9876543286"/>
        <s v="9876543287"/>
        <s v="9876543288"/>
        <s v="9876543289"/>
        <s v="9876543290"/>
        <s v="9876543291"/>
        <s v="9876543292"/>
        <s v="9876543293"/>
        <s v="9876543294"/>
        <s v="9876543295"/>
        <s v="9876543296"/>
        <s v="9876543297"/>
        <s v="9876543298"/>
        <s v="9876543299"/>
        <s v="9876543300"/>
        <s v="9876543301"/>
        <s v="9876543302"/>
        <s v="9876543303"/>
        <s v="9876543304"/>
        <s v="9876543305"/>
        <s v="9876543306"/>
        <s v="9876543307"/>
        <s v="9876543308"/>
        <s v="9876543309"/>
        <s v="9876543310"/>
        <s v="9876543311"/>
        <s v="9876543312"/>
        <s v="9876543313"/>
        <s v="9876543314"/>
        <s v="9876543315"/>
        <s v="9876543316"/>
        <s v="9876543317"/>
        <s v="9876543318"/>
        <s v="9876543319"/>
      </sharedItems>
    </cacheField>
    <cacheField name="Joining Date" numFmtId="164">
      <sharedItems containsSemiMixedTypes="0" containsDate="1" containsString="0">
        <d v="2024-01-05T00:00:00Z"/>
        <d v="2024-02-15T00:00:00Z"/>
        <d v="2024-03-20T00:00:00Z"/>
        <d v="2024-04-10T00:00:00Z"/>
        <d v="2024-05-08T00:00:00Z"/>
        <d v="2024-06-18T00:00:00Z"/>
        <d v="2024-07-25T00:00:00Z"/>
        <d v="2024-08-12T00:00:00Z"/>
        <d v="2024-09-01T00:00:00Z"/>
        <d v="2024-10-15T00:00:00Z"/>
      </sharedItems>
    </cacheField>
    <cacheField name="Employment Type" numFmtId="0">
      <sharedItems>
        <s v="Full-Time"/>
        <s v="Contract"/>
        <s v="Intern"/>
      </sharedItems>
    </cacheField>
    <cacheField name="Status" numFmtId="0">
      <sharedItems>
        <s v="Active"/>
        <s v="On Leave"/>
      </sharedItems>
    </cacheField>
    <cacheField name="City" numFmtId="0">
      <sharedItems>
        <s v="Delhi"/>
        <s v="Mumbai"/>
        <s v="Jaipur"/>
        <s v="Bengaluru"/>
        <s v="Pune"/>
        <s v="Hyderabad"/>
        <s v="Chennai"/>
        <s v="Ahmedabad"/>
        <s v="Kolkata"/>
      </sharedItems>
    </cacheField>
    <cacheField name="Years Of Service" numFmtId="4">
      <sharedItems containsSemiMixedTypes="0" containsString="0" containsNumber="1">
        <n v="2.5388888888888888"/>
        <n v="2.4277777777777776"/>
        <n v="2.3305555555555557"/>
        <n v="2.275"/>
        <n v="2.1972222222222224"/>
        <n v="2.0861111111111112"/>
        <n v="1.9833333333333334"/>
        <n v="1.9361111111111111"/>
        <n v="1.8833333333333333"/>
        <n v="1.76111111111111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R Dashboard" cacheId="0" dataCaption="" compact="0" compactData="0">
  <location ref="D2:L4" firstHeaderRow="0" firstDataRow="0" firstDataCol="1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Department" axis="axisCol" compact="0" outline="0" multipleItemSelectionAllowed="1" showAll="0" sortType="ascending">
      <items>
        <item x="6"/>
        <item x="5"/>
        <item x="2"/>
        <item x="1"/>
        <item x="3"/>
        <item x="4"/>
        <item x="0"/>
        <item t="default"/>
      </items>
    </pivotField>
    <pivotField name="Job 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nag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Phon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Joining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mployment Type" compact="0" outline="0" multipleItemSelectionAllowed="1" showAll="0">
      <items>
        <item x="0"/>
        <item x="1"/>
        <item x="2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Years Of Serv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colFields>
    <field x="2"/>
  </colFields>
  <dataFields>
    <dataField name="People By Department" fld="0" subtotal="count" baseField="0"/>
  </dataFields>
</pivotTableDefinition>
</file>

<file path=xl/pivotTables/pivotTable2.xml><?xml version="1.0" encoding="utf-8"?>
<pivotTableDefinition xmlns="http://schemas.openxmlformats.org/spreadsheetml/2006/main" name="HR Dashboard 2" cacheId="0" dataCaption="" compact="0" compactData="0">
  <location ref="D6:N8" firstHeaderRow="0" firstDataRow="0" firstDataCol="1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Job 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nag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Phon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Joining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mployment Type" compact="0" outline="0" multipleItemSelectionAllowed="1" showAll="0">
      <items>
        <item x="0"/>
        <item x="1"/>
        <item x="2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City" axis="axisCol" compact="0" outline="0" multipleItemSelectionAllowed="1" showAll="0" sortType="ascending">
      <items>
        <item x="7"/>
        <item x="3"/>
        <item x="6"/>
        <item x="0"/>
        <item x="5"/>
        <item x="2"/>
        <item x="8"/>
        <item x="1"/>
        <item x="4"/>
        <item t="default"/>
      </items>
    </pivotField>
    <pivotField name="Years Of Serv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colFields>
    <field x="10"/>
  </colFields>
  <dataFields>
    <dataField name="Employees By City" fld="0" subtotal="count" baseField="0"/>
  </dataFields>
</pivotTableDefinition>
</file>

<file path=xl/pivotTables/pivotTable3.xml><?xml version="1.0" encoding="utf-8"?>
<pivotTableDefinition xmlns="http://schemas.openxmlformats.org/spreadsheetml/2006/main" name="HR Dashboard 3" cacheId="0" dataCaption="" compact="0" compactData="0">
  <location ref="D10:E14" firstHeaderRow="0" firstDataRow="1" firstDataCol="0"/>
  <pivotFields>
    <pivotField name="Employe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Job 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nag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Phon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Joining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mployment Type" axis="axisRow" dataField="1" compact="0" outline="0" multipleItemSelectionAllowed="1" showAll="0" sortType="ascending">
      <items>
        <item x="1"/>
        <item x="0"/>
        <item x="2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Years Of Serv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8"/>
  </rowFields>
  <dataFields>
    <dataField name="Employment Type Distribution" fld="8" subtotal="count" baseField="0"/>
  </dataFields>
</pivotTableDefinition>
</file>

<file path=xl/pivotTables/pivotTable4.xml><?xml version="1.0" encoding="utf-8"?>
<pivotTableDefinition xmlns="http://schemas.openxmlformats.org/spreadsheetml/2006/main" name="HR Dashboard 4" cacheId="0" dataCaption="" compact="0" compactData="0">
  <location ref="G10:J12" firstHeaderRow="0" firstDataRow="0" firstDataCol="1"/>
  <pivotFields>
    <pivotField name="Employee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Full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Job 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nage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Phon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Joining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mployment Type" compact="0" outline="0" multipleItemSelectionAllowed="1" showAll="0">
      <items>
        <item x="0"/>
        <item x="1"/>
        <item x="2"/>
        <item t="default"/>
      </items>
    </pivotField>
    <pivotField name="Status" axis="axisCol" compact="0" outline="0" multipleItemSelectionAllowed="1" showAll="0" sortType="ascending">
      <items>
        <item x="0"/>
        <item x="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Years Of Serv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colFields>
    <field x="9"/>
  </colFields>
  <dataFields>
    <dataField name="Employee Status" fld="0" subtotal="count" baseField="0"/>
  </dataFields>
</pivotTableDefinition>
</file>

<file path=xl/tables/table1.xml><?xml version="1.0" encoding="utf-8"?>
<table xmlns="http://schemas.openxmlformats.org/spreadsheetml/2006/main" headerRowCount="0" ref="C8:E14" displayName="Table_1" name="Table_1" id="1">
  <tableColumns count="3">
    <tableColumn name="Column1" id="1"/>
    <tableColumn name="Column2" id="2"/>
    <tableColumn name="Column3" id="3"/>
  </tableColumns>
  <tableStyleInfo name="Employee Search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B13" displayName="Table_2" name="Table_2" id="2">
  <tableColumns count="2">
    <tableColumn name="Column1" id="1"/>
    <tableColumn name="Column2" id="2"/>
  </tableColumns>
  <tableStyleInfo name="HR 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aarav.sharma@novabridge.com" TargetMode="External"/><Relationship Id="rId2" Type="http://schemas.openxmlformats.org/officeDocument/2006/relationships/hyperlink" Target="mailto:meera.patel@novabridge.com" TargetMode="External"/><Relationship Id="rId3" Type="http://schemas.openxmlformats.org/officeDocument/2006/relationships/hyperlink" Target="mailto:arjun.singh@novabridge.com" TargetMode="External"/><Relationship Id="rId4" Type="http://schemas.openxmlformats.org/officeDocument/2006/relationships/hyperlink" Target="mailto:kavya.nair@novabridge.co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ananya.bose@novabridge.com" TargetMode="External"/><Relationship Id="rId9" Type="http://schemas.openxmlformats.org/officeDocument/2006/relationships/hyperlink" Target="mailto:yash.jain@novabridge.com" TargetMode="External"/><Relationship Id="rId5" Type="http://schemas.openxmlformats.org/officeDocument/2006/relationships/hyperlink" Target="mailto:rohan.gupta@novabridge.com" TargetMode="External"/><Relationship Id="rId6" Type="http://schemas.openxmlformats.org/officeDocument/2006/relationships/hyperlink" Target="mailto:isha.verma@novabridge.com" TargetMode="External"/><Relationship Id="rId7" Type="http://schemas.openxmlformats.org/officeDocument/2006/relationships/hyperlink" Target="mailto:dev.malhotra@novabridge.com" TargetMode="External"/><Relationship Id="rId8" Type="http://schemas.openxmlformats.org/officeDocument/2006/relationships/hyperlink" Target="mailto:nisha.rao@novabridge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Relationship Id="rId7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3" max="3" width="19.38"/>
    <col customWidth="1" min="4" max="4" width="21.63"/>
    <col customWidth="1" min="5" max="5" width="11.5"/>
    <col customWidth="1" min="6" max="6" width="27.38"/>
    <col customWidth="1" min="9" max="9" width="17.13"/>
    <col customWidth="1" min="12" max="12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17</v>
      </c>
      <c r="G2" s="6" t="s">
        <v>18</v>
      </c>
      <c r="H2" s="7">
        <v>45296.0</v>
      </c>
      <c r="I2" s="4" t="s">
        <v>19</v>
      </c>
      <c r="J2" s="4" t="s">
        <v>20</v>
      </c>
      <c r="K2" s="4" t="s">
        <v>21</v>
      </c>
      <c r="L2" s="8">
        <f t="shared" ref="L2:L111" si="1">YEARFRAC(H2,TODAY())</f>
        <v>2.538888889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 t="s">
        <v>22</v>
      </c>
      <c r="B3" s="10" t="s">
        <v>23</v>
      </c>
      <c r="C3" s="10" t="s">
        <v>24</v>
      </c>
      <c r="D3" s="10" t="s">
        <v>25</v>
      </c>
      <c r="E3" s="10" t="s">
        <v>26</v>
      </c>
      <c r="F3" s="11" t="s">
        <v>27</v>
      </c>
      <c r="G3" s="12" t="s">
        <v>28</v>
      </c>
      <c r="H3" s="13">
        <v>45337.0</v>
      </c>
      <c r="I3" s="10" t="s">
        <v>19</v>
      </c>
      <c r="J3" s="10" t="s">
        <v>20</v>
      </c>
      <c r="K3" s="10" t="s">
        <v>29</v>
      </c>
      <c r="L3" s="14">
        <f t="shared" si="1"/>
        <v>2.427777778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5" t="s">
        <v>35</v>
      </c>
      <c r="G4" s="6" t="s">
        <v>36</v>
      </c>
      <c r="H4" s="16">
        <v>45371.0</v>
      </c>
      <c r="I4" s="4" t="s">
        <v>19</v>
      </c>
      <c r="J4" s="4" t="s">
        <v>20</v>
      </c>
      <c r="K4" s="4" t="s">
        <v>37</v>
      </c>
      <c r="L4" s="8">
        <f t="shared" si="1"/>
        <v>2.330555556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 t="s">
        <v>38</v>
      </c>
      <c r="B5" s="10" t="s">
        <v>39</v>
      </c>
      <c r="C5" s="10" t="s">
        <v>40</v>
      </c>
      <c r="D5" s="10" t="s">
        <v>41</v>
      </c>
      <c r="E5" s="10" t="s">
        <v>42</v>
      </c>
      <c r="F5" s="11" t="s">
        <v>43</v>
      </c>
      <c r="G5" s="12" t="s">
        <v>44</v>
      </c>
      <c r="H5" s="13">
        <v>45392.0</v>
      </c>
      <c r="I5" s="10" t="s">
        <v>19</v>
      </c>
      <c r="J5" s="10" t="s">
        <v>20</v>
      </c>
      <c r="K5" s="10" t="s">
        <v>45</v>
      </c>
      <c r="L5" s="14">
        <f t="shared" si="1"/>
        <v>2.275</v>
      </c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4" t="s">
        <v>46</v>
      </c>
      <c r="B6" s="4" t="s">
        <v>47</v>
      </c>
      <c r="C6" s="4" t="s">
        <v>48</v>
      </c>
      <c r="D6" s="4" t="s">
        <v>49</v>
      </c>
      <c r="E6" s="4" t="s">
        <v>50</v>
      </c>
      <c r="F6" s="5" t="s">
        <v>51</v>
      </c>
      <c r="G6" s="6" t="s">
        <v>52</v>
      </c>
      <c r="H6" s="17">
        <v>45420.0</v>
      </c>
      <c r="I6" s="4" t="s">
        <v>53</v>
      </c>
      <c r="J6" s="4" t="s">
        <v>20</v>
      </c>
      <c r="K6" s="4" t="s">
        <v>54</v>
      </c>
      <c r="L6" s="8">
        <f t="shared" si="1"/>
        <v>2.197222222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 t="s">
        <v>55</v>
      </c>
      <c r="B7" s="10" t="s">
        <v>56</v>
      </c>
      <c r="C7" s="10" t="s">
        <v>57</v>
      </c>
      <c r="D7" s="10" t="s">
        <v>58</v>
      </c>
      <c r="E7" s="10" t="s">
        <v>59</v>
      </c>
      <c r="F7" s="11" t="s">
        <v>60</v>
      </c>
      <c r="G7" s="12" t="s">
        <v>61</v>
      </c>
      <c r="H7" s="13">
        <v>45461.0</v>
      </c>
      <c r="I7" s="10" t="s">
        <v>19</v>
      </c>
      <c r="J7" s="10" t="s">
        <v>20</v>
      </c>
      <c r="K7" s="10" t="s">
        <v>62</v>
      </c>
      <c r="L7" s="14">
        <f t="shared" si="1"/>
        <v>2.086111111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4" t="s">
        <v>63</v>
      </c>
      <c r="B8" s="4" t="s">
        <v>64</v>
      </c>
      <c r="C8" s="4" t="s">
        <v>65</v>
      </c>
      <c r="D8" s="4" t="s">
        <v>66</v>
      </c>
      <c r="E8" s="4" t="s">
        <v>16</v>
      </c>
      <c r="F8" s="5" t="s">
        <v>67</v>
      </c>
      <c r="G8" s="6" t="s">
        <v>68</v>
      </c>
      <c r="H8" s="16">
        <v>45498.0</v>
      </c>
      <c r="I8" s="4" t="s">
        <v>19</v>
      </c>
      <c r="J8" s="4" t="s">
        <v>20</v>
      </c>
      <c r="K8" s="4" t="s">
        <v>21</v>
      </c>
      <c r="L8" s="8">
        <f t="shared" si="1"/>
        <v>1.983333333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 t="s">
        <v>69</v>
      </c>
      <c r="B9" s="10" t="s">
        <v>70</v>
      </c>
      <c r="C9" s="10" t="s">
        <v>14</v>
      </c>
      <c r="D9" s="10" t="s">
        <v>71</v>
      </c>
      <c r="E9" s="10" t="s">
        <v>16</v>
      </c>
      <c r="F9" s="11" t="s">
        <v>72</v>
      </c>
      <c r="G9" s="12" t="s">
        <v>73</v>
      </c>
      <c r="H9" s="13">
        <v>45516.0</v>
      </c>
      <c r="I9" s="10" t="s">
        <v>19</v>
      </c>
      <c r="J9" s="10" t="s">
        <v>74</v>
      </c>
      <c r="K9" s="10" t="s">
        <v>75</v>
      </c>
      <c r="L9" s="14">
        <f t="shared" si="1"/>
        <v>1.936111111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4" t="s">
        <v>76</v>
      </c>
      <c r="B10" s="4" t="s">
        <v>77</v>
      </c>
      <c r="C10" s="4" t="s">
        <v>32</v>
      </c>
      <c r="D10" s="4" t="s">
        <v>78</v>
      </c>
      <c r="E10" s="4" t="s">
        <v>34</v>
      </c>
      <c r="F10" s="5" t="s">
        <v>79</v>
      </c>
      <c r="G10" s="6" t="s">
        <v>80</v>
      </c>
      <c r="H10" s="7">
        <v>45536.0</v>
      </c>
      <c r="I10" s="4" t="s">
        <v>81</v>
      </c>
      <c r="J10" s="4" t="s">
        <v>20</v>
      </c>
      <c r="K10" s="4" t="s">
        <v>82</v>
      </c>
      <c r="L10" s="8">
        <f t="shared" si="1"/>
        <v>1.883333333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 t="s">
        <v>83</v>
      </c>
      <c r="B11" s="10" t="s">
        <v>84</v>
      </c>
      <c r="C11" s="10" t="s">
        <v>24</v>
      </c>
      <c r="D11" s="10" t="s">
        <v>85</v>
      </c>
      <c r="E11" s="10" t="s">
        <v>26</v>
      </c>
      <c r="F11" s="11" t="s">
        <v>86</v>
      </c>
      <c r="G11" s="12" t="s">
        <v>87</v>
      </c>
      <c r="H11" s="13">
        <v>45580.0</v>
      </c>
      <c r="I11" s="10" t="s">
        <v>19</v>
      </c>
      <c r="J11" s="10" t="s">
        <v>20</v>
      </c>
      <c r="K11" s="10" t="s">
        <v>88</v>
      </c>
      <c r="L11" s="14">
        <f t="shared" si="1"/>
        <v>1.761111111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4" t="s">
        <v>89</v>
      </c>
      <c r="B12" s="4" t="s">
        <v>90</v>
      </c>
      <c r="C12" s="4" t="s">
        <v>14</v>
      </c>
      <c r="D12" s="4" t="s">
        <v>15</v>
      </c>
      <c r="E12" s="4" t="s">
        <v>16</v>
      </c>
      <c r="F12" s="4" t="s">
        <v>91</v>
      </c>
      <c r="G12" s="6" t="s">
        <v>92</v>
      </c>
      <c r="H12" s="7">
        <v>45296.0</v>
      </c>
      <c r="I12" s="4" t="s">
        <v>19</v>
      </c>
      <c r="J12" s="4" t="s">
        <v>20</v>
      </c>
      <c r="K12" s="4" t="s">
        <v>21</v>
      </c>
      <c r="L12" s="8">
        <f t="shared" si="1"/>
        <v>2.538888889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 t="s">
        <v>93</v>
      </c>
      <c r="B13" s="10" t="s">
        <v>94</v>
      </c>
      <c r="C13" s="10" t="s">
        <v>24</v>
      </c>
      <c r="D13" s="10" t="s">
        <v>25</v>
      </c>
      <c r="E13" s="10" t="s">
        <v>26</v>
      </c>
      <c r="F13" s="10" t="s">
        <v>95</v>
      </c>
      <c r="G13" s="12" t="s">
        <v>96</v>
      </c>
      <c r="H13" s="18">
        <v>45337.0</v>
      </c>
      <c r="I13" s="10" t="s">
        <v>19</v>
      </c>
      <c r="J13" s="10" t="s">
        <v>20</v>
      </c>
      <c r="K13" s="10" t="s">
        <v>29</v>
      </c>
      <c r="L13" s="14">
        <f t="shared" si="1"/>
        <v>2.427777778</v>
      </c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4" t="s">
        <v>97</v>
      </c>
      <c r="B14" s="4" t="s">
        <v>98</v>
      </c>
      <c r="C14" s="4" t="s">
        <v>32</v>
      </c>
      <c r="D14" s="4" t="s">
        <v>33</v>
      </c>
      <c r="E14" s="4" t="s">
        <v>34</v>
      </c>
      <c r="F14" s="4" t="s">
        <v>99</v>
      </c>
      <c r="G14" s="6" t="s">
        <v>100</v>
      </c>
      <c r="H14" s="7">
        <v>45371.0</v>
      </c>
      <c r="I14" s="4" t="s">
        <v>19</v>
      </c>
      <c r="J14" s="4" t="s">
        <v>20</v>
      </c>
      <c r="K14" s="4" t="s">
        <v>37</v>
      </c>
      <c r="L14" s="8">
        <f t="shared" si="1"/>
        <v>2.330555556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 t="s">
        <v>101</v>
      </c>
      <c r="B15" s="10" t="s">
        <v>102</v>
      </c>
      <c r="C15" s="10" t="s">
        <v>40</v>
      </c>
      <c r="D15" s="10" t="s">
        <v>41</v>
      </c>
      <c r="E15" s="10" t="s">
        <v>42</v>
      </c>
      <c r="F15" s="10" t="s">
        <v>103</v>
      </c>
      <c r="G15" s="12" t="s">
        <v>104</v>
      </c>
      <c r="H15" s="18">
        <v>45392.0</v>
      </c>
      <c r="I15" s="10" t="s">
        <v>19</v>
      </c>
      <c r="J15" s="10" t="s">
        <v>20</v>
      </c>
      <c r="K15" s="10" t="s">
        <v>45</v>
      </c>
      <c r="L15" s="14">
        <f t="shared" si="1"/>
        <v>2.275</v>
      </c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4" t="s">
        <v>105</v>
      </c>
      <c r="B16" s="4" t="s">
        <v>106</v>
      </c>
      <c r="C16" s="4" t="s">
        <v>48</v>
      </c>
      <c r="D16" s="4" t="s">
        <v>49</v>
      </c>
      <c r="E16" s="4" t="s">
        <v>50</v>
      </c>
      <c r="F16" s="4" t="s">
        <v>107</v>
      </c>
      <c r="G16" s="6" t="s">
        <v>108</v>
      </c>
      <c r="H16" s="7">
        <v>45420.0</v>
      </c>
      <c r="I16" s="4" t="s">
        <v>53</v>
      </c>
      <c r="J16" s="4" t="s">
        <v>20</v>
      </c>
      <c r="K16" s="4" t="s">
        <v>54</v>
      </c>
      <c r="L16" s="8">
        <f t="shared" si="1"/>
        <v>2.197222222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 t="s">
        <v>109</v>
      </c>
      <c r="B17" s="10" t="s">
        <v>110</v>
      </c>
      <c r="C17" s="10" t="s">
        <v>57</v>
      </c>
      <c r="D17" s="10" t="s">
        <v>58</v>
      </c>
      <c r="E17" s="10" t="s">
        <v>59</v>
      </c>
      <c r="F17" s="10" t="s">
        <v>111</v>
      </c>
      <c r="G17" s="12" t="s">
        <v>112</v>
      </c>
      <c r="H17" s="18">
        <v>45461.0</v>
      </c>
      <c r="I17" s="10" t="s">
        <v>19</v>
      </c>
      <c r="J17" s="10" t="s">
        <v>20</v>
      </c>
      <c r="K17" s="10" t="s">
        <v>62</v>
      </c>
      <c r="L17" s="14">
        <f t="shared" si="1"/>
        <v>2.086111111</v>
      </c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4" t="s">
        <v>113</v>
      </c>
      <c r="B18" s="4" t="s">
        <v>114</v>
      </c>
      <c r="C18" s="4" t="s">
        <v>65</v>
      </c>
      <c r="D18" s="4" t="s">
        <v>66</v>
      </c>
      <c r="E18" s="4" t="s">
        <v>16</v>
      </c>
      <c r="F18" s="4" t="s">
        <v>115</v>
      </c>
      <c r="G18" s="6" t="s">
        <v>116</v>
      </c>
      <c r="H18" s="7">
        <v>45498.0</v>
      </c>
      <c r="I18" s="4" t="s">
        <v>19</v>
      </c>
      <c r="J18" s="4" t="s">
        <v>20</v>
      </c>
      <c r="K18" s="4" t="s">
        <v>21</v>
      </c>
      <c r="L18" s="8">
        <f t="shared" si="1"/>
        <v>1.983333333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 t="s">
        <v>117</v>
      </c>
      <c r="B19" s="10" t="s">
        <v>118</v>
      </c>
      <c r="C19" s="10" t="s">
        <v>14</v>
      </c>
      <c r="D19" s="10" t="s">
        <v>71</v>
      </c>
      <c r="E19" s="10" t="s">
        <v>16</v>
      </c>
      <c r="F19" s="10" t="s">
        <v>119</v>
      </c>
      <c r="G19" s="12" t="s">
        <v>120</v>
      </c>
      <c r="H19" s="18">
        <v>45516.0</v>
      </c>
      <c r="I19" s="10" t="s">
        <v>19</v>
      </c>
      <c r="J19" s="10" t="s">
        <v>74</v>
      </c>
      <c r="K19" s="10" t="s">
        <v>75</v>
      </c>
      <c r="L19" s="14">
        <f t="shared" si="1"/>
        <v>1.936111111</v>
      </c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4" t="s">
        <v>121</v>
      </c>
      <c r="B20" s="4" t="s">
        <v>122</v>
      </c>
      <c r="C20" s="4" t="s">
        <v>32</v>
      </c>
      <c r="D20" s="4" t="s">
        <v>78</v>
      </c>
      <c r="E20" s="4" t="s">
        <v>34</v>
      </c>
      <c r="F20" s="4" t="s">
        <v>123</v>
      </c>
      <c r="G20" s="6" t="s">
        <v>124</v>
      </c>
      <c r="H20" s="7">
        <v>45536.0</v>
      </c>
      <c r="I20" s="4" t="s">
        <v>81</v>
      </c>
      <c r="J20" s="4" t="s">
        <v>20</v>
      </c>
      <c r="K20" s="4" t="s">
        <v>82</v>
      </c>
      <c r="L20" s="8">
        <f t="shared" si="1"/>
        <v>1.883333333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0" t="s">
        <v>125</v>
      </c>
      <c r="B21" s="10" t="s">
        <v>126</v>
      </c>
      <c r="C21" s="10" t="s">
        <v>24</v>
      </c>
      <c r="D21" s="10" t="s">
        <v>85</v>
      </c>
      <c r="E21" s="10" t="s">
        <v>26</v>
      </c>
      <c r="F21" s="10" t="s">
        <v>127</v>
      </c>
      <c r="G21" s="12" t="s">
        <v>128</v>
      </c>
      <c r="H21" s="18">
        <v>45580.0</v>
      </c>
      <c r="I21" s="10" t="s">
        <v>19</v>
      </c>
      <c r="J21" s="10" t="s">
        <v>20</v>
      </c>
      <c r="K21" s="10" t="s">
        <v>88</v>
      </c>
      <c r="L21" s="14">
        <f t="shared" si="1"/>
        <v>1.761111111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4" t="s">
        <v>129</v>
      </c>
      <c r="B22" s="4" t="s">
        <v>130</v>
      </c>
      <c r="C22" s="4" t="s">
        <v>14</v>
      </c>
      <c r="D22" s="4" t="s">
        <v>15</v>
      </c>
      <c r="E22" s="4" t="s">
        <v>16</v>
      </c>
      <c r="F22" s="4" t="s">
        <v>131</v>
      </c>
      <c r="G22" s="6" t="s">
        <v>132</v>
      </c>
      <c r="H22" s="7">
        <v>45296.0</v>
      </c>
      <c r="I22" s="4" t="s">
        <v>19</v>
      </c>
      <c r="J22" s="4" t="s">
        <v>20</v>
      </c>
      <c r="K22" s="4" t="s">
        <v>21</v>
      </c>
      <c r="L22" s="8">
        <f t="shared" si="1"/>
        <v>2.538888889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0" t="s">
        <v>133</v>
      </c>
      <c r="B23" s="10" t="s">
        <v>134</v>
      </c>
      <c r="C23" s="10" t="s">
        <v>24</v>
      </c>
      <c r="D23" s="10" t="s">
        <v>25</v>
      </c>
      <c r="E23" s="10" t="s">
        <v>26</v>
      </c>
      <c r="F23" s="10" t="s">
        <v>135</v>
      </c>
      <c r="G23" s="12" t="s">
        <v>136</v>
      </c>
      <c r="H23" s="18">
        <v>45337.0</v>
      </c>
      <c r="I23" s="10" t="s">
        <v>19</v>
      </c>
      <c r="J23" s="10" t="s">
        <v>20</v>
      </c>
      <c r="K23" s="10" t="s">
        <v>29</v>
      </c>
      <c r="L23" s="14">
        <f t="shared" si="1"/>
        <v>2.427777778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4" t="s">
        <v>137</v>
      </c>
      <c r="B24" s="4" t="s">
        <v>138</v>
      </c>
      <c r="C24" s="4" t="s">
        <v>32</v>
      </c>
      <c r="D24" s="4" t="s">
        <v>33</v>
      </c>
      <c r="E24" s="4" t="s">
        <v>34</v>
      </c>
      <c r="F24" s="4" t="s">
        <v>139</v>
      </c>
      <c r="G24" s="6" t="s">
        <v>140</v>
      </c>
      <c r="H24" s="7">
        <v>45371.0</v>
      </c>
      <c r="I24" s="4" t="s">
        <v>19</v>
      </c>
      <c r="J24" s="4" t="s">
        <v>20</v>
      </c>
      <c r="K24" s="4" t="s">
        <v>37</v>
      </c>
      <c r="L24" s="8">
        <f t="shared" si="1"/>
        <v>2.330555556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0" t="s">
        <v>141</v>
      </c>
      <c r="B25" s="10" t="s">
        <v>142</v>
      </c>
      <c r="C25" s="10" t="s">
        <v>40</v>
      </c>
      <c r="D25" s="10" t="s">
        <v>41</v>
      </c>
      <c r="E25" s="10" t="s">
        <v>42</v>
      </c>
      <c r="F25" s="10" t="s">
        <v>143</v>
      </c>
      <c r="G25" s="12" t="s">
        <v>144</v>
      </c>
      <c r="H25" s="18">
        <v>45392.0</v>
      </c>
      <c r="I25" s="10" t="s">
        <v>19</v>
      </c>
      <c r="J25" s="10" t="s">
        <v>20</v>
      </c>
      <c r="K25" s="10" t="s">
        <v>45</v>
      </c>
      <c r="L25" s="14">
        <f t="shared" si="1"/>
        <v>2.275</v>
      </c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4" t="s">
        <v>145</v>
      </c>
      <c r="B26" s="4" t="s">
        <v>146</v>
      </c>
      <c r="C26" s="4" t="s">
        <v>48</v>
      </c>
      <c r="D26" s="4" t="s">
        <v>49</v>
      </c>
      <c r="E26" s="4" t="s">
        <v>50</v>
      </c>
      <c r="F26" s="4" t="s">
        <v>147</v>
      </c>
      <c r="G26" s="6" t="s">
        <v>148</v>
      </c>
      <c r="H26" s="7">
        <v>45420.0</v>
      </c>
      <c r="I26" s="4" t="s">
        <v>53</v>
      </c>
      <c r="J26" s="4" t="s">
        <v>20</v>
      </c>
      <c r="K26" s="4" t="s">
        <v>54</v>
      </c>
      <c r="L26" s="8">
        <f t="shared" si="1"/>
        <v>2.197222222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0" t="s">
        <v>149</v>
      </c>
      <c r="B27" s="10" t="s">
        <v>150</v>
      </c>
      <c r="C27" s="10" t="s">
        <v>57</v>
      </c>
      <c r="D27" s="10" t="s">
        <v>58</v>
      </c>
      <c r="E27" s="10" t="s">
        <v>59</v>
      </c>
      <c r="F27" s="10" t="s">
        <v>151</v>
      </c>
      <c r="G27" s="12" t="s">
        <v>152</v>
      </c>
      <c r="H27" s="18">
        <v>45461.0</v>
      </c>
      <c r="I27" s="10" t="s">
        <v>19</v>
      </c>
      <c r="J27" s="10" t="s">
        <v>20</v>
      </c>
      <c r="K27" s="10" t="s">
        <v>62</v>
      </c>
      <c r="L27" s="14">
        <f t="shared" si="1"/>
        <v>2.086111111</v>
      </c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4" t="s">
        <v>153</v>
      </c>
      <c r="B28" s="4" t="s">
        <v>154</v>
      </c>
      <c r="C28" s="4" t="s">
        <v>65</v>
      </c>
      <c r="D28" s="4" t="s">
        <v>66</v>
      </c>
      <c r="E28" s="4" t="s">
        <v>16</v>
      </c>
      <c r="F28" s="4" t="s">
        <v>155</v>
      </c>
      <c r="G28" s="6" t="s">
        <v>156</v>
      </c>
      <c r="H28" s="7">
        <v>45498.0</v>
      </c>
      <c r="I28" s="4" t="s">
        <v>19</v>
      </c>
      <c r="J28" s="4" t="s">
        <v>20</v>
      </c>
      <c r="K28" s="4" t="s">
        <v>21</v>
      </c>
      <c r="L28" s="8">
        <f t="shared" si="1"/>
        <v>1.983333333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0" t="s">
        <v>157</v>
      </c>
      <c r="B29" s="10" t="s">
        <v>158</v>
      </c>
      <c r="C29" s="10" t="s">
        <v>14</v>
      </c>
      <c r="D29" s="10" t="s">
        <v>71</v>
      </c>
      <c r="E29" s="10" t="s">
        <v>16</v>
      </c>
      <c r="F29" s="10" t="s">
        <v>159</v>
      </c>
      <c r="G29" s="12" t="s">
        <v>160</v>
      </c>
      <c r="H29" s="18">
        <v>45516.0</v>
      </c>
      <c r="I29" s="10" t="s">
        <v>19</v>
      </c>
      <c r="J29" s="10" t="s">
        <v>74</v>
      </c>
      <c r="K29" s="10" t="s">
        <v>75</v>
      </c>
      <c r="L29" s="14">
        <f t="shared" si="1"/>
        <v>1.936111111</v>
      </c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4" t="s">
        <v>161</v>
      </c>
      <c r="B30" s="4" t="s">
        <v>162</v>
      </c>
      <c r="C30" s="4" t="s">
        <v>32</v>
      </c>
      <c r="D30" s="4" t="s">
        <v>78</v>
      </c>
      <c r="E30" s="4" t="s">
        <v>34</v>
      </c>
      <c r="F30" s="4" t="s">
        <v>163</v>
      </c>
      <c r="G30" s="6" t="s">
        <v>164</v>
      </c>
      <c r="H30" s="7">
        <v>45536.0</v>
      </c>
      <c r="I30" s="4" t="s">
        <v>81</v>
      </c>
      <c r="J30" s="4" t="s">
        <v>20</v>
      </c>
      <c r="K30" s="4" t="s">
        <v>82</v>
      </c>
      <c r="L30" s="8">
        <f t="shared" si="1"/>
        <v>1.883333333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0" t="s">
        <v>165</v>
      </c>
      <c r="B31" s="10" t="s">
        <v>166</v>
      </c>
      <c r="C31" s="10" t="s">
        <v>24</v>
      </c>
      <c r="D31" s="10" t="s">
        <v>85</v>
      </c>
      <c r="E31" s="10" t="s">
        <v>26</v>
      </c>
      <c r="F31" s="10" t="s">
        <v>167</v>
      </c>
      <c r="G31" s="12" t="s">
        <v>168</v>
      </c>
      <c r="H31" s="18">
        <v>45580.0</v>
      </c>
      <c r="I31" s="10" t="s">
        <v>19</v>
      </c>
      <c r="J31" s="10" t="s">
        <v>20</v>
      </c>
      <c r="K31" s="10" t="s">
        <v>88</v>
      </c>
      <c r="L31" s="14">
        <f t="shared" si="1"/>
        <v>1.761111111</v>
      </c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4" t="s">
        <v>169</v>
      </c>
      <c r="B32" s="4" t="s">
        <v>170</v>
      </c>
      <c r="C32" s="4" t="s">
        <v>14</v>
      </c>
      <c r="D32" s="4" t="s">
        <v>15</v>
      </c>
      <c r="E32" s="4" t="s">
        <v>16</v>
      </c>
      <c r="F32" s="4" t="s">
        <v>171</v>
      </c>
      <c r="G32" s="6" t="s">
        <v>172</v>
      </c>
      <c r="H32" s="7">
        <v>45296.0</v>
      </c>
      <c r="I32" s="4" t="s">
        <v>19</v>
      </c>
      <c r="J32" s="4" t="s">
        <v>20</v>
      </c>
      <c r="K32" s="4" t="s">
        <v>21</v>
      </c>
      <c r="L32" s="8">
        <f t="shared" si="1"/>
        <v>2.538888889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0" t="s">
        <v>173</v>
      </c>
      <c r="B33" s="10" t="s">
        <v>174</v>
      </c>
      <c r="C33" s="10" t="s">
        <v>24</v>
      </c>
      <c r="D33" s="10" t="s">
        <v>25</v>
      </c>
      <c r="E33" s="10" t="s">
        <v>26</v>
      </c>
      <c r="F33" s="10" t="s">
        <v>175</v>
      </c>
      <c r="G33" s="12" t="s">
        <v>176</v>
      </c>
      <c r="H33" s="18">
        <v>45337.0</v>
      </c>
      <c r="I33" s="10" t="s">
        <v>19</v>
      </c>
      <c r="J33" s="10" t="s">
        <v>20</v>
      </c>
      <c r="K33" s="10" t="s">
        <v>29</v>
      </c>
      <c r="L33" s="14">
        <f t="shared" si="1"/>
        <v>2.427777778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4" t="s">
        <v>177</v>
      </c>
      <c r="B34" s="4" t="s">
        <v>178</v>
      </c>
      <c r="C34" s="4" t="s">
        <v>32</v>
      </c>
      <c r="D34" s="4" t="s">
        <v>33</v>
      </c>
      <c r="E34" s="4" t="s">
        <v>34</v>
      </c>
      <c r="F34" s="4" t="s">
        <v>179</v>
      </c>
      <c r="G34" s="6" t="s">
        <v>180</v>
      </c>
      <c r="H34" s="7">
        <v>45371.0</v>
      </c>
      <c r="I34" s="4" t="s">
        <v>19</v>
      </c>
      <c r="J34" s="4" t="s">
        <v>20</v>
      </c>
      <c r="K34" s="4" t="s">
        <v>37</v>
      </c>
      <c r="L34" s="8">
        <f t="shared" si="1"/>
        <v>2.330555556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0" t="s">
        <v>181</v>
      </c>
      <c r="B35" s="10" t="s">
        <v>182</v>
      </c>
      <c r="C35" s="10" t="s">
        <v>40</v>
      </c>
      <c r="D35" s="10" t="s">
        <v>41</v>
      </c>
      <c r="E35" s="10" t="s">
        <v>42</v>
      </c>
      <c r="F35" s="10" t="s">
        <v>183</v>
      </c>
      <c r="G35" s="12" t="s">
        <v>184</v>
      </c>
      <c r="H35" s="18">
        <v>45392.0</v>
      </c>
      <c r="I35" s="10" t="s">
        <v>19</v>
      </c>
      <c r="J35" s="10" t="s">
        <v>20</v>
      </c>
      <c r="K35" s="10" t="s">
        <v>45</v>
      </c>
      <c r="L35" s="14">
        <f t="shared" si="1"/>
        <v>2.275</v>
      </c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4" t="s">
        <v>185</v>
      </c>
      <c r="B36" s="4" t="s">
        <v>186</v>
      </c>
      <c r="C36" s="4" t="s">
        <v>48</v>
      </c>
      <c r="D36" s="4" t="s">
        <v>49</v>
      </c>
      <c r="E36" s="4" t="s">
        <v>50</v>
      </c>
      <c r="F36" s="4" t="s">
        <v>187</v>
      </c>
      <c r="G36" s="6" t="s">
        <v>188</v>
      </c>
      <c r="H36" s="7">
        <v>45420.0</v>
      </c>
      <c r="I36" s="4" t="s">
        <v>53</v>
      </c>
      <c r="J36" s="4" t="s">
        <v>20</v>
      </c>
      <c r="K36" s="4" t="s">
        <v>54</v>
      </c>
      <c r="L36" s="8">
        <f t="shared" si="1"/>
        <v>2.197222222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0" t="s">
        <v>189</v>
      </c>
      <c r="B37" s="10" t="s">
        <v>190</v>
      </c>
      <c r="C37" s="10" t="s">
        <v>57</v>
      </c>
      <c r="D37" s="10" t="s">
        <v>58</v>
      </c>
      <c r="E37" s="10" t="s">
        <v>59</v>
      </c>
      <c r="F37" s="10" t="s">
        <v>191</v>
      </c>
      <c r="G37" s="12" t="s">
        <v>192</v>
      </c>
      <c r="H37" s="18">
        <v>45461.0</v>
      </c>
      <c r="I37" s="10" t="s">
        <v>19</v>
      </c>
      <c r="J37" s="10" t="s">
        <v>20</v>
      </c>
      <c r="K37" s="10" t="s">
        <v>62</v>
      </c>
      <c r="L37" s="14">
        <f t="shared" si="1"/>
        <v>2.086111111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4" t="s">
        <v>193</v>
      </c>
      <c r="B38" s="4" t="s">
        <v>194</v>
      </c>
      <c r="C38" s="4" t="s">
        <v>65</v>
      </c>
      <c r="D38" s="4" t="s">
        <v>66</v>
      </c>
      <c r="E38" s="4" t="s">
        <v>16</v>
      </c>
      <c r="F38" s="4" t="s">
        <v>195</v>
      </c>
      <c r="G38" s="6" t="s">
        <v>196</v>
      </c>
      <c r="H38" s="7">
        <v>45498.0</v>
      </c>
      <c r="I38" s="4" t="s">
        <v>19</v>
      </c>
      <c r="J38" s="4" t="s">
        <v>20</v>
      </c>
      <c r="K38" s="4" t="s">
        <v>21</v>
      </c>
      <c r="L38" s="8">
        <f t="shared" si="1"/>
        <v>1.983333333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0" t="s">
        <v>197</v>
      </c>
      <c r="B39" s="10" t="s">
        <v>198</v>
      </c>
      <c r="C39" s="10" t="s">
        <v>14</v>
      </c>
      <c r="D39" s="10" t="s">
        <v>71</v>
      </c>
      <c r="E39" s="10" t="s">
        <v>16</v>
      </c>
      <c r="F39" s="10" t="s">
        <v>199</v>
      </c>
      <c r="G39" s="12" t="s">
        <v>200</v>
      </c>
      <c r="H39" s="18">
        <v>45516.0</v>
      </c>
      <c r="I39" s="10" t="s">
        <v>19</v>
      </c>
      <c r="J39" s="10" t="s">
        <v>74</v>
      </c>
      <c r="K39" s="10" t="s">
        <v>75</v>
      </c>
      <c r="L39" s="14">
        <f t="shared" si="1"/>
        <v>1.936111111</v>
      </c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4" t="s">
        <v>201</v>
      </c>
      <c r="B40" s="4" t="s">
        <v>202</v>
      </c>
      <c r="C40" s="4" t="s">
        <v>32</v>
      </c>
      <c r="D40" s="4" t="s">
        <v>78</v>
      </c>
      <c r="E40" s="4" t="s">
        <v>34</v>
      </c>
      <c r="F40" s="4" t="s">
        <v>203</v>
      </c>
      <c r="G40" s="6" t="s">
        <v>204</v>
      </c>
      <c r="H40" s="7">
        <v>45536.0</v>
      </c>
      <c r="I40" s="4" t="s">
        <v>81</v>
      </c>
      <c r="J40" s="4" t="s">
        <v>20</v>
      </c>
      <c r="K40" s="4" t="s">
        <v>82</v>
      </c>
      <c r="L40" s="8">
        <f t="shared" si="1"/>
        <v>1.883333333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0" t="s">
        <v>205</v>
      </c>
      <c r="B41" s="10" t="s">
        <v>206</v>
      </c>
      <c r="C41" s="10" t="s">
        <v>24</v>
      </c>
      <c r="D41" s="10" t="s">
        <v>85</v>
      </c>
      <c r="E41" s="10" t="s">
        <v>26</v>
      </c>
      <c r="F41" s="10" t="s">
        <v>207</v>
      </c>
      <c r="G41" s="12" t="s">
        <v>208</v>
      </c>
      <c r="H41" s="18">
        <v>45580.0</v>
      </c>
      <c r="I41" s="10" t="s">
        <v>19</v>
      </c>
      <c r="J41" s="10" t="s">
        <v>20</v>
      </c>
      <c r="K41" s="10" t="s">
        <v>88</v>
      </c>
      <c r="L41" s="14">
        <f t="shared" si="1"/>
        <v>1.761111111</v>
      </c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4" t="s">
        <v>209</v>
      </c>
      <c r="B42" s="4" t="s">
        <v>210</v>
      </c>
      <c r="C42" s="4" t="s">
        <v>14</v>
      </c>
      <c r="D42" s="4" t="s">
        <v>15</v>
      </c>
      <c r="E42" s="4" t="s">
        <v>16</v>
      </c>
      <c r="F42" s="4" t="s">
        <v>211</v>
      </c>
      <c r="G42" s="6" t="s">
        <v>212</v>
      </c>
      <c r="H42" s="7">
        <v>45296.0</v>
      </c>
      <c r="I42" s="4" t="s">
        <v>19</v>
      </c>
      <c r="J42" s="4" t="s">
        <v>20</v>
      </c>
      <c r="K42" s="4" t="s">
        <v>21</v>
      </c>
      <c r="L42" s="8">
        <f t="shared" si="1"/>
        <v>2.538888889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0" t="s">
        <v>213</v>
      </c>
      <c r="B43" s="10" t="s">
        <v>214</v>
      </c>
      <c r="C43" s="10" t="s">
        <v>24</v>
      </c>
      <c r="D43" s="10" t="s">
        <v>25</v>
      </c>
      <c r="E43" s="10" t="s">
        <v>26</v>
      </c>
      <c r="F43" s="10" t="s">
        <v>215</v>
      </c>
      <c r="G43" s="12" t="s">
        <v>216</v>
      </c>
      <c r="H43" s="18">
        <v>45337.0</v>
      </c>
      <c r="I43" s="10" t="s">
        <v>19</v>
      </c>
      <c r="J43" s="10" t="s">
        <v>20</v>
      </c>
      <c r="K43" s="10" t="s">
        <v>29</v>
      </c>
      <c r="L43" s="14">
        <f t="shared" si="1"/>
        <v>2.427777778</v>
      </c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4" t="s">
        <v>217</v>
      </c>
      <c r="B44" s="4" t="s">
        <v>218</v>
      </c>
      <c r="C44" s="4" t="s">
        <v>32</v>
      </c>
      <c r="D44" s="4" t="s">
        <v>33</v>
      </c>
      <c r="E44" s="4" t="s">
        <v>34</v>
      </c>
      <c r="F44" s="4" t="s">
        <v>219</v>
      </c>
      <c r="G44" s="6" t="s">
        <v>220</v>
      </c>
      <c r="H44" s="7">
        <v>45371.0</v>
      </c>
      <c r="I44" s="4" t="s">
        <v>19</v>
      </c>
      <c r="J44" s="4" t="s">
        <v>20</v>
      </c>
      <c r="K44" s="4" t="s">
        <v>37</v>
      </c>
      <c r="L44" s="8">
        <f t="shared" si="1"/>
        <v>2.330555556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0" t="s">
        <v>221</v>
      </c>
      <c r="B45" s="10" t="s">
        <v>222</v>
      </c>
      <c r="C45" s="10" t="s">
        <v>40</v>
      </c>
      <c r="D45" s="10" t="s">
        <v>41</v>
      </c>
      <c r="E45" s="10" t="s">
        <v>42</v>
      </c>
      <c r="F45" s="10" t="s">
        <v>223</v>
      </c>
      <c r="G45" s="12" t="s">
        <v>224</v>
      </c>
      <c r="H45" s="18">
        <v>45392.0</v>
      </c>
      <c r="I45" s="10" t="s">
        <v>19</v>
      </c>
      <c r="J45" s="10" t="s">
        <v>20</v>
      </c>
      <c r="K45" s="10" t="s">
        <v>45</v>
      </c>
      <c r="L45" s="14">
        <f t="shared" si="1"/>
        <v>2.275</v>
      </c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4" t="s">
        <v>225</v>
      </c>
      <c r="B46" s="4" t="s">
        <v>226</v>
      </c>
      <c r="C46" s="4" t="s">
        <v>48</v>
      </c>
      <c r="D46" s="4" t="s">
        <v>49</v>
      </c>
      <c r="E46" s="4" t="s">
        <v>50</v>
      </c>
      <c r="F46" s="4" t="s">
        <v>227</v>
      </c>
      <c r="G46" s="6" t="s">
        <v>228</v>
      </c>
      <c r="H46" s="7">
        <v>45420.0</v>
      </c>
      <c r="I46" s="4" t="s">
        <v>53</v>
      </c>
      <c r="J46" s="4" t="s">
        <v>20</v>
      </c>
      <c r="K46" s="4" t="s">
        <v>54</v>
      </c>
      <c r="L46" s="8">
        <f t="shared" si="1"/>
        <v>2.197222222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0" t="s">
        <v>229</v>
      </c>
      <c r="B47" s="10" t="s">
        <v>230</v>
      </c>
      <c r="C47" s="10" t="s">
        <v>57</v>
      </c>
      <c r="D47" s="10" t="s">
        <v>58</v>
      </c>
      <c r="E47" s="10" t="s">
        <v>59</v>
      </c>
      <c r="F47" s="10" t="s">
        <v>231</v>
      </c>
      <c r="G47" s="12" t="s">
        <v>232</v>
      </c>
      <c r="H47" s="18">
        <v>45461.0</v>
      </c>
      <c r="I47" s="10" t="s">
        <v>19</v>
      </c>
      <c r="J47" s="10" t="s">
        <v>20</v>
      </c>
      <c r="K47" s="10" t="s">
        <v>62</v>
      </c>
      <c r="L47" s="14">
        <f t="shared" si="1"/>
        <v>2.086111111</v>
      </c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4" t="s">
        <v>233</v>
      </c>
      <c r="B48" s="4" t="s">
        <v>234</v>
      </c>
      <c r="C48" s="4" t="s">
        <v>65</v>
      </c>
      <c r="D48" s="4" t="s">
        <v>66</v>
      </c>
      <c r="E48" s="4" t="s">
        <v>16</v>
      </c>
      <c r="F48" s="4" t="s">
        <v>235</v>
      </c>
      <c r="G48" s="6" t="s">
        <v>236</v>
      </c>
      <c r="H48" s="7">
        <v>45498.0</v>
      </c>
      <c r="I48" s="4" t="s">
        <v>19</v>
      </c>
      <c r="J48" s="4" t="s">
        <v>20</v>
      </c>
      <c r="K48" s="4" t="s">
        <v>21</v>
      </c>
      <c r="L48" s="8">
        <f t="shared" si="1"/>
        <v>1.983333333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0" t="s">
        <v>237</v>
      </c>
      <c r="B49" s="10" t="s">
        <v>238</v>
      </c>
      <c r="C49" s="10" t="s">
        <v>14</v>
      </c>
      <c r="D49" s="10" t="s">
        <v>71</v>
      </c>
      <c r="E49" s="10" t="s">
        <v>16</v>
      </c>
      <c r="F49" s="10" t="s">
        <v>239</v>
      </c>
      <c r="G49" s="12" t="s">
        <v>240</v>
      </c>
      <c r="H49" s="18">
        <v>45516.0</v>
      </c>
      <c r="I49" s="10" t="s">
        <v>19</v>
      </c>
      <c r="J49" s="10" t="s">
        <v>74</v>
      </c>
      <c r="K49" s="10" t="s">
        <v>75</v>
      </c>
      <c r="L49" s="14">
        <f t="shared" si="1"/>
        <v>1.936111111</v>
      </c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4" t="s">
        <v>241</v>
      </c>
      <c r="B50" s="4" t="s">
        <v>242</v>
      </c>
      <c r="C50" s="4" t="s">
        <v>32</v>
      </c>
      <c r="D50" s="4" t="s">
        <v>78</v>
      </c>
      <c r="E50" s="4" t="s">
        <v>34</v>
      </c>
      <c r="F50" s="4" t="s">
        <v>243</v>
      </c>
      <c r="G50" s="6" t="s">
        <v>244</v>
      </c>
      <c r="H50" s="7">
        <v>45536.0</v>
      </c>
      <c r="I50" s="4" t="s">
        <v>81</v>
      </c>
      <c r="J50" s="4" t="s">
        <v>20</v>
      </c>
      <c r="K50" s="4" t="s">
        <v>82</v>
      </c>
      <c r="L50" s="8">
        <f t="shared" si="1"/>
        <v>1.883333333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0" t="s">
        <v>245</v>
      </c>
      <c r="B51" s="10" t="s">
        <v>246</v>
      </c>
      <c r="C51" s="10" t="s">
        <v>24</v>
      </c>
      <c r="D51" s="10" t="s">
        <v>85</v>
      </c>
      <c r="E51" s="10" t="s">
        <v>26</v>
      </c>
      <c r="F51" s="10" t="s">
        <v>247</v>
      </c>
      <c r="G51" s="12" t="s">
        <v>248</v>
      </c>
      <c r="H51" s="18">
        <v>45580.0</v>
      </c>
      <c r="I51" s="10" t="s">
        <v>19</v>
      </c>
      <c r="J51" s="10" t="s">
        <v>20</v>
      </c>
      <c r="K51" s="10" t="s">
        <v>88</v>
      </c>
      <c r="L51" s="14">
        <f t="shared" si="1"/>
        <v>1.761111111</v>
      </c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4" t="s">
        <v>249</v>
      </c>
      <c r="B52" s="4" t="s">
        <v>250</v>
      </c>
      <c r="C52" s="4" t="s">
        <v>14</v>
      </c>
      <c r="D52" s="4" t="s">
        <v>15</v>
      </c>
      <c r="E52" s="4" t="s">
        <v>16</v>
      </c>
      <c r="F52" s="4" t="s">
        <v>251</v>
      </c>
      <c r="G52" s="6" t="s">
        <v>252</v>
      </c>
      <c r="H52" s="7">
        <v>45296.0</v>
      </c>
      <c r="I52" s="4" t="s">
        <v>19</v>
      </c>
      <c r="J52" s="4" t="s">
        <v>20</v>
      </c>
      <c r="K52" s="4" t="s">
        <v>21</v>
      </c>
      <c r="L52" s="8">
        <f t="shared" si="1"/>
        <v>2.538888889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0" t="s">
        <v>253</v>
      </c>
      <c r="B53" s="10" t="s">
        <v>254</v>
      </c>
      <c r="C53" s="10" t="s">
        <v>24</v>
      </c>
      <c r="D53" s="10" t="s">
        <v>25</v>
      </c>
      <c r="E53" s="10" t="s">
        <v>26</v>
      </c>
      <c r="F53" s="10" t="s">
        <v>255</v>
      </c>
      <c r="G53" s="12" t="s">
        <v>256</v>
      </c>
      <c r="H53" s="18">
        <v>45337.0</v>
      </c>
      <c r="I53" s="10" t="s">
        <v>19</v>
      </c>
      <c r="J53" s="10" t="s">
        <v>20</v>
      </c>
      <c r="K53" s="10" t="s">
        <v>29</v>
      </c>
      <c r="L53" s="14">
        <f t="shared" si="1"/>
        <v>2.427777778</v>
      </c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4" t="s">
        <v>257</v>
      </c>
      <c r="B54" s="4" t="s">
        <v>258</v>
      </c>
      <c r="C54" s="4" t="s">
        <v>32</v>
      </c>
      <c r="D54" s="4" t="s">
        <v>33</v>
      </c>
      <c r="E54" s="4" t="s">
        <v>34</v>
      </c>
      <c r="F54" s="4" t="s">
        <v>259</v>
      </c>
      <c r="G54" s="6" t="s">
        <v>260</v>
      </c>
      <c r="H54" s="7">
        <v>45371.0</v>
      </c>
      <c r="I54" s="4" t="s">
        <v>19</v>
      </c>
      <c r="J54" s="4" t="s">
        <v>20</v>
      </c>
      <c r="K54" s="4" t="s">
        <v>37</v>
      </c>
      <c r="L54" s="8">
        <f t="shared" si="1"/>
        <v>2.330555556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0" t="s">
        <v>261</v>
      </c>
      <c r="B55" s="10" t="s">
        <v>262</v>
      </c>
      <c r="C55" s="10" t="s">
        <v>40</v>
      </c>
      <c r="D55" s="10" t="s">
        <v>41</v>
      </c>
      <c r="E55" s="10" t="s">
        <v>42</v>
      </c>
      <c r="F55" s="10" t="s">
        <v>263</v>
      </c>
      <c r="G55" s="12" t="s">
        <v>264</v>
      </c>
      <c r="H55" s="18">
        <v>45392.0</v>
      </c>
      <c r="I55" s="10" t="s">
        <v>19</v>
      </c>
      <c r="J55" s="10" t="s">
        <v>20</v>
      </c>
      <c r="K55" s="10" t="s">
        <v>45</v>
      </c>
      <c r="L55" s="14">
        <f t="shared" si="1"/>
        <v>2.275</v>
      </c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4" t="s">
        <v>265</v>
      </c>
      <c r="B56" s="4" t="s">
        <v>266</v>
      </c>
      <c r="C56" s="4" t="s">
        <v>48</v>
      </c>
      <c r="D56" s="4" t="s">
        <v>49</v>
      </c>
      <c r="E56" s="4" t="s">
        <v>50</v>
      </c>
      <c r="F56" s="4" t="s">
        <v>267</v>
      </c>
      <c r="G56" s="6" t="s">
        <v>268</v>
      </c>
      <c r="H56" s="7">
        <v>45420.0</v>
      </c>
      <c r="I56" s="4" t="s">
        <v>53</v>
      </c>
      <c r="J56" s="4" t="s">
        <v>20</v>
      </c>
      <c r="K56" s="4" t="s">
        <v>54</v>
      </c>
      <c r="L56" s="8">
        <f t="shared" si="1"/>
        <v>2.197222222</v>
      </c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0" t="s">
        <v>269</v>
      </c>
      <c r="B57" s="10" t="s">
        <v>270</v>
      </c>
      <c r="C57" s="10" t="s">
        <v>57</v>
      </c>
      <c r="D57" s="10" t="s">
        <v>58</v>
      </c>
      <c r="E57" s="10" t="s">
        <v>59</v>
      </c>
      <c r="F57" s="10" t="s">
        <v>271</v>
      </c>
      <c r="G57" s="12" t="s">
        <v>272</v>
      </c>
      <c r="H57" s="18">
        <v>45461.0</v>
      </c>
      <c r="I57" s="10" t="s">
        <v>19</v>
      </c>
      <c r="J57" s="10" t="s">
        <v>20</v>
      </c>
      <c r="K57" s="10" t="s">
        <v>62</v>
      </c>
      <c r="L57" s="14">
        <f t="shared" si="1"/>
        <v>2.086111111</v>
      </c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4" t="s">
        <v>273</v>
      </c>
      <c r="B58" s="4" t="s">
        <v>274</v>
      </c>
      <c r="C58" s="4" t="s">
        <v>65</v>
      </c>
      <c r="D58" s="4" t="s">
        <v>66</v>
      </c>
      <c r="E58" s="4" t="s">
        <v>16</v>
      </c>
      <c r="F58" s="4" t="s">
        <v>275</v>
      </c>
      <c r="G58" s="6" t="s">
        <v>276</v>
      </c>
      <c r="H58" s="7">
        <v>45498.0</v>
      </c>
      <c r="I58" s="4" t="s">
        <v>19</v>
      </c>
      <c r="J58" s="4" t="s">
        <v>20</v>
      </c>
      <c r="K58" s="4" t="s">
        <v>21</v>
      </c>
      <c r="L58" s="8">
        <f t="shared" si="1"/>
        <v>1.983333333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0" t="s">
        <v>277</v>
      </c>
      <c r="B59" s="10" t="s">
        <v>278</v>
      </c>
      <c r="C59" s="10" t="s">
        <v>14</v>
      </c>
      <c r="D59" s="10" t="s">
        <v>71</v>
      </c>
      <c r="E59" s="10" t="s">
        <v>16</v>
      </c>
      <c r="F59" s="10" t="s">
        <v>279</v>
      </c>
      <c r="G59" s="12" t="s">
        <v>280</v>
      </c>
      <c r="H59" s="18">
        <v>45516.0</v>
      </c>
      <c r="I59" s="10" t="s">
        <v>19</v>
      </c>
      <c r="J59" s="10" t="s">
        <v>74</v>
      </c>
      <c r="K59" s="10" t="s">
        <v>75</v>
      </c>
      <c r="L59" s="14">
        <f t="shared" si="1"/>
        <v>1.936111111</v>
      </c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4" t="s">
        <v>281</v>
      </c>
      <c r="B60" s="4" t="s">
        <v>282</v>
      </c>
      <c r="C60" s="4" t="s">
        <v>32</v>
      </c>
      <c r="D60" s="4" t="s">
        <v>78</v>
      </c>
      <c r="E60" s="4" t="s">
        <v>34</v>
      </c>
      <c r="F60" s="4" t="s">
        <v>283</v>
      </c>
      <c r="G60" s="6" t="s">
        <v>284</v>
      </c>
      <c r="H60" s="7">
        <v>45536.0</v>
      </c>
      <c r="I60" s="4" t="s">
        <v>81</v>
      </c>
      <c r="J60" s="4" t="s">
        <v>20</v>
      </c>
      <c r="K60" s="4" t="s">
        <v>82</v>
      </c>
      <c r="L60" s="8">
        <f t="shared" si="1"/>
        <v>1.883333333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0" t="s">
        <v>285</v>
      </c>
      <c r="B61" s="10" t="s">
        <v>286</v>
      </c>
      <c r="C61" s="10" t="s">
        <v>24</v>
      </c>
      <c r="D61" s="10" t="s">
        <v>85</v>
      </c>
      <c r="E61" s="10" t="s">
        <v>26</v>
      </c>
      <c r="F61" s="10" t="s">
        <v>287</v>
      </c>
      <c r="G61" s="12" t="s">
        <v>288</v>
      </c>
      <c r="H61" s="18">
        <v>45580.0</v>
      </c>
      <c r="I61" s="10" t="s">
        <v>19</v>
      </c>
      <c r="J61" s="10" t="s">
        <v>20</v>
      </c>
      <c r="K61" s="10" t="s">
        <v>88</v>
      </c>
      <c r="L61" s="14">
        <f t="shared" si="1"/>
        <v>1.761111111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4" t="s">
        <v>289</v>
      </c>
      <c r="B62" s="4" t="s">
        <v>290</v>
      </c>
      <c r="C62" s="4" t="s">
        <v>14</v>
      </c>
      <c r="D62" s="4" t="s">
        <v>15</v>
      </c>
      <c r="E62" s="4" t="s">
        <v>16</v>
      </c>
      <c r="F62" s="4" t="s">
        <v>291</v>
      </c>
      <c r="G62" s="6" t="s">
        <v>292</v>
      </c>
      <c r="H62" s="7">
        <v>45296.0</v>
      </c>
      <c r="I62" s="4" t="s">
        <v>19</v>
      </c>
      <c r="J62" s="4" t="s">
        <v>20</v>
      </c>
      <c r="K62" s="4" t="s">
        <v>21</v>
      </c>
      <c r="L62" s="8">
        <f t="shared" si="1"/>
        <v>2.538888889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0" t="s">
        <v>293</v>
      </c>
      <c r="B63" s="10" t="s">
        <v>294</v>
      </c>
      <c r="C63" s="10" t="s">
        <v>24</v>
      </c>
      <c r="D63" s="10" t="s">
        <v>25</v>
      </c>
      <c r="E63" s="10" t="s">
        <v>26</v>
      </c>
      <c r="F63" s="10" t="s">
        <v>295</v>
      </c>
      <c r="G63" s="12" t="s">
        <v>296</v>
      </c>
      <c r="H63" s="18">
        <v>45337.0</v>
      </c>
      <c r="I63" s="10" t="s">
        <v>19</v>
      </c>
      <c r="J63" s="10" t="s">
        <v>20</v>
      </c>
      <c r="K63" s="10" t="s">
        <v>29</v>
      </c>
      <c r="L63" s="14">
        <f t="shared" si="1"/>
        <v>2.427777778</v>
      </c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4" t="s">
        <v>297</v>
      </c>
      <c r="B64" s="4" t="s">
        <v>298</v>
      </c>
      <c r="C64" s="4" t="s">
        <v>32</v>
      </c>
      <c r="D64" s="4" t="s">
        <v>33</v>
      </c>
      <c r="E64" s="4" t="s">
        <v>34</v>
      </c>
      <c r="F64" s="4" t="s">
        <v>299</v>
      </c>
      <c r="G64" s="6" t="s">
        <v>300</v>
      </c>
      <c r="H64" s="7">
        <v>45371.0</v>
      </c>
      <c r="I64" s="4" t="s">
        <v>19</v>
      </c>
      <c r="J64" s="4" t="s">
        <v>20</v>
      </c>
      <c r="K64" s="4" t="s">
        <v>37</v>
      </c>
      <c r="L64" s="8">
        <f t="shared" si="1"/>
        <v>2.330555556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0" t="s">
        <v>301</v>
      </c>
      <c r="B65" s="10" t="s">
        <v>302</v>
      </c>
      <c r="C65" s="10" t="s">
        <v>40</v>
      </c>
      <c r="D65" s="10" t="s">
        <v>41</v>
      </c>
      <c r="E65" s="10" t="s">
        <v>42</v>
      </c>
      <c r="F65" s="10" t="s">
        <v>303</v>
      </c>
      <c r="G65" s="12" t="s">
        <v>304</v>
      </c>
      <c r="H65" s="18">
        <v>45392.0</v>
      </c>
      <c r="I65" s="10" t="s">
        <v>19</v>
      </c>
      <c r="J65" s="10" t="s">
        <v>20</v>
      </c>
      <c r="K65" s="10" t="s">
        <v>45</v>
      </c>
      <c r="L65" s="14">
        <f t="shared" si="1"/>
        <v>2.275</v>
      </c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4" t="s">
        <v>305</v>
      </c>
      <c r="B66" s="4" t="s">
        <v>306</v>
      </c>
      <c r="C66" s="4" t="s">
        <v>48</v>
      </c>
      <c r="D66" s="4" t="s">
        <v>49</v>
      </c>
      <c r="E66" s="4" t="s">
        <v>50</v>
      </c>
      <c r="F66" s="4" t="s">
        <v>307</v>
      </c>
      <c r="G66" s="6" t="s">
        <v>308</v>
      </c>
      <c r="H66" s="7">
        <v>45420.0</v>
      </c>
      <c r="I66" s="4" t="s">
        <v>53</v>
      </c>
      <c r="J66" s="4" t="s">
        <v>20</v>
      </c>
      <c r="K66" s="4" t="s">
        <v>54</v>
      </c>
      <c r="L66" s="8">
        <f t="shared" si="1"/>
        <v>2.197222222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0" t="s">
        <v>309</v>
      </c>
      <c r="B67" s="10" t="s">
        <v>310</v>
      </c>
      <c r="C67" s="10" t="s">
        <v>57</v>
      </c>
      <c r="D67" s="10" t="s">
        <v>58</v>
      </c>
      <c r="E67" s="10" t="s">
        <v>59</v>
      </c>
      <c r="F67" s="10" t="s">
        <v>311</v>
      </c>
      <c r="G67" s="12" t="s">
        <v>312</v>
      </c>
      <c r="H67" s="18">
        <v>45461.0</v>
      </c>
      <c r="I67" s="10" t="s">
        <v>19</v>
      </c>
      <c r="J67" s="10" t="s">
        <v>20</v>
      </c>
      <c r="K67" s="10" t="s">
        <v>62</v>
      </c>
      <c r="L67" s="14">
        <f t="shared" si="1"/>
        <v>2.086111111</v>
      </c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4" t="s">
        <v>313</v>
      </c>
      <c r="B68" s="4" t="s">
        <v>314</v>
      </c>
      <c r="C68" s="4" t="s">
        <v>65</v>
      </c>
      <c r="D68" s="4" t="s">
        <v>66</v>
      </c>
      <c r="E68" s="4" t="s">
        <v>16</v>
      </c>
      <c r="F68" s="4" t="s">
        <v>315</v>
      </c>
      <c r="G68" s="6" t="s">
        <v>316</v>
      </c>
      <c r="H68" s="7">
        <v>45498.0</v>
      </c>
      <c r="I68" s="4" t="s">
        <v>19</v>
      </c>
      <c r="J68" s="4" t="s">
        <v>20</v>
      </c>
      <c r="K68" s="4" t="s">
        <v>21</v>
      </c>
      <c r="L68" s="8">
        <f t="shared" si="1"/>
        <v>1.983333333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0" t="s">
        <v>317</v>
      </c>
      <c r="B69" s="10" t="s">
        <v>318</v>
      </c>
      <c r="C69" s="10" t="s">
        <v>14</v>
      </c>
      <c r="D69" s="10" t="s">
        <v>71</v>
      </c>
      <c r="E69" s="10" t="s">
        <v>16</v>
      </c>
      <c r="F69" s="10" t="s">
        <v>319</v>
      </c>
      <c r="G69" s="12" t="s">
        <v>320</v>
      </c>
      <c r="H69" s="18">
        <v>45516.0</v>
      </c>
      <c r="I69" s="10" t="s">
        <v>19</v>
      </c>
      <c r="J69" s="10" t="s">
        <v>74</v>
      </c>
      <c r="K69" s="10" t="s">
        <v>75</v>
      </c>
      <c r="L69" s="14">
        <f t="shared" si="1"/>
        <v>1.936111111</v>
      </c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4" t="s">
        <v>321</v>
      </c>
      <c r="B70" s="4" t="s">
        <v>322</v>
      </c>
      <c r="C70" s="4" t="s">
        <v>32</v>
      </c>
      <c r="D70" s="4" t="s">
        <v>78</v>
      </c>
      <c r="E70" s="4" t="s">
        <v>34</v>
      </c>
      <c r="F70" s="4" t="s">
        <v>323</v>
      </c>
      <c r="G70" s="6" t="s">
        <v>324</v>
      </c>
      <c r="H70" s="7">
        <v>45536.0</v>
      </c>
      <c r="I70" s="4" t="s">
        <v>81</v>
      </c>
      <c r="J70" s="4" t="s">
        <v>20</v>
      </c>
      <c r="K70" s="4" t="s">
        <v>82</v>
      </c>
      <c r="L70" s="8">
        <f t="shared" si="1"/>
        <v>1.883333333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0" t="s">
        <v>325</v>
      </c>
      <c r="B71" s="10" t="s">
        <v>326</v>
      </c>
      <c r="C71" s="10" t="s">
        <v>24</v>
      </c>
      <c r="D71" s="10" t="s">
        <v>85</v>
      </c>
      <c r="E71" s="10" t="s">
        <v>26</v>
      </c>
      <c r="F71" s="10" t="s">
        <v>327</v>
      </c>
      <c r="G71" s="12" t="s">
        <v>328</v>
      </c>
      <c r="H71" s="18">
        <v>45580.0</v>
      </c>
      <c r="I71" s="10" t="s">
        <v>19</v>
      </c>
      <c r="J71" s="10" t="s">
        <v>20</v>
      </c>
      <c r="K71" s="10" t="s">
        <v>88</v>
      </c>
      <c r="L71" s="14">
        <f t="shared" si="1"/>
        <v>1.761111111</v>
      </c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4" t="s">
        <v>329</v>
      </c>
      <c r="B72" s="4" t="s">
        <v>330</v>
      </c>
      <c r="C72" s="4" t="s">
        <v>14</v>
      </c>
      <c r="D72" s="4" t="s">
        <v>15</v>
      </c>
      <c r="E72" s="4" t="s">
        <v>16</v>
      </c>
      <c r="F72" s="4" t="s">
        <v>331</v>
      </c>
      <c r="G72" s="6" t="s">
        <v>332</v>
      </c>
      <c r="H72" s="7">
        <v>45296.0</v>
      </c>
      <c r="I72" s="4" t="s">
        <v>19</v>
      </c>
      <c r="J72" s="4" t="s">
        <v>20</v>
      </c>
      <c r="K72" s="4" t="s">
        <v>21</v>
      </c>
      <c r="L72" s="8">
        <f t="shared" si="1"/>
        <v>2.538888889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0" t="s">
        <v>333</v>
      </c>
      <c r="B73" s="10" t="s">
        <v>334</v>
      </c>
      <c r="C73" s="10" t="s">
        <v>24</v>
      </c>
      <c r="D73" s="10" t="s">
        <v>25</v>
      </c>
      <c r="E73" s="10" t="s">
        <v>26</v>
      </c>
      <c r="F73" s="10" t="s">
        <v>335</v>
      </c>
      <c r="G73" s="12" t="s">
        <v>336</v>
      </c>
      <c r="H73" s="18">
        <v>45337.0</v>
      </c>
      <c r="I73" s="10" t="s">
        <v>19</v>
      </c>
      <c r="J73" s="10" t="s">
        <v>20</v>
      </c>
      <c r="K73" s="10" t="s">
        <v>29</v>
      </c>
      <c r="L73" s="14">
        <f t="shared" si="1"/>
        <v>2.427777778</v>
      </c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4" t="s">
        <v>337</v>
      </c>
      <c r="B74" s="4" t="s">
        <v>338</v>
      </c>
      <c r="C74" s="4" t="s">
        <v>32</v>
      </c>
      <c r="D74" s="4" t="s">
        <v>33</v>
      </c>
      <c r="E74" s="4" t="s">
        <v>34</v>
      </c>
      <c r="F74" s="4" t="s">
        <v>339</v>
      </c>
      <c r="G74" s="6" t="s">
        <v>340</v>
      </c>
      <c r="H74" s="7">
        <v>45371.0</v>
      </c>
      <c r="I74" s="4" t="s">
        <v>19</v>
      </c>
      <c r="J74" s="4" t="s">
        <v>20</v>
      </c>
      <c r="K74" s="4" t="s">
        <v>37</v>
      </c>
      <c r="L74" s="8">
        <f t="shared" si="1"/>
        <v>2.330555556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0" t="s">
        <v>341</v>
      </c>
      <c r="B75" s="10" t="s">
        <v>342</v>
      </c>
      <c r="C75" s="10" t="s">
        <v>40</v>
      </c>
      <c r="D75" s="10" t="s">
        <v>41</v>
      </c>
      <c r="E75" s="10" t="s">
        <v>42</v>
      </c>
      <c r="F75" s="10" t="s">
        <v>343</v>
      </c>
      <c r="G75" s="12" t="s">
        <v>344</v>
      </c>
      <c r="H75" s="18">
        <v>45392.0</v>
      </c>
      <c r="I75" s="10" t="s">
        <v>19</v>
      </c>
      <c r="J75" s="10" t="s">
        <v>20</v>
      </c>
      <c r="K75" s="10" t="s">
        <v>45</v>
      </c>
      <c r="L75" s="14">
        <f t="shared" si="1"/>
        <v>2.275</v>
      </c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4" t="s">
        <v>345</v>
      </c>
      <c r="B76" s="4" t="s">
        <v>346</v>
      </c>
      <c r="C76" s="4" t="s">
        <v>48</v>
      </c>
      <c r="D76" s="4" t="s">
        <v>49</v>
      </c>
      <c r="E76" s="4" t="s">
        <v>50</v>
      </c>
      <c r="F76" s="4" t="s">
        <v>347</v>
      </c>
      <c r="G76" s="6" t="s">
        <v>348</v>
      </c>
      <c r="H76" s="7">
        <v>45420.0</v>
      </c>
      <c r="I76" s="4" t="s">
        <v>53</v>
      </c>
      <c r="J76" s="4" t="s">
        <v>20</v>
      </c>
      <c r="K76" s="4" t="s">
        <v>54</v>
      </c>
      <c r="L76" s="8">
        <f t="shared" si="1"/>
        <v>2.197222222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0" t="s">
        <v>349</v>
      </c>
      <c r="B77" s="10" t="s">
        <v>350</v>
      </c>
      <c r="C77" s="10" t="s">
        <v>57</v>
      </c>
      <c r="D77" s="10" t="s">
        <v>58</v>
      </c>
      <c r="E77" s="10" t="s">
        <v>59</v>
      </c>
      <c r="F77" s="10" t="s">
        <v>351</v>
      </c>
      <c r="G77" s="12" t="s">
        <v>352</v>
      </c>
      <c r="H77" s="18">
        <v>45461.0</v>
      </c>
      <c r="I77" s="10" t="s">
        <v>19</v>
      </c>
      <c r="J77" s="10" t="s">
        <v>20</v>
      </c>
      <c r="K77" s="10" t="s">
        <v>62</v>
      </c>
      <c r="L77" s="14">
        <f t="shared" si="1"/>
        <v>2.086111111</v>
      </c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4" t="s">
        <v>353</v>
      </c>
      <c r="B78" s="4" t="s">
        <v>354</v>
      </c>
      <c r="C78" s="4" t="s">
        <v>65</v>
      </c>
      <c r="D78" s="4" t="s">
        <v>66</v>
      </c>
      <c r="E78" s="4" t="s">
        <v>16</v>
      </c>
      <c r="F78" s="4" t="s">
        <v>355</v>
      </c>
      <c r="G78" s="6" t="s">
        <v>356</v>
      </c>
      <c r="H78" s="7">
        <v>45498.0</v>
      </c>
      <c r="I78" s="4" t="s">
        <v>19</v>
      </c>
      <c r="J78" s="4" t="s">
        <v>20</v>
      </c>
      <c r="K78" s="4" t="s">
        <v>21</v>
      </c>
      <c r="L78" s="8">
        <f t="shared" si="1"/>
        <v>1.983333333</v>
      </c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0" t="s">
        <v>357</v>
      </c>
      <c r="B79" s="10" t="s">
        <v>358</v>
      </c>
      <c r="C79" s="10" t="s">
        <v>14</v>
      </c>
      <c r="D79" s="10" t="s">
        <v>71</v>
      </c>
      <c r="E79" s="10" t="s">
        <v>16</v>
      </c>
      <c r="F79" s="10" t="s">
        <v>359</v>
      </c>
      <c r="G79" s="12" t="s">
        <v>360</v>
      </c>
      <c r="H79" s="18">
        <v>45516.0</v>
      </c>
      <c r="I79" s="10" t="s">
        <v>19</v>
      </c>
      <c r="J79" s="10" t="s">
        <v>74</v>
      </c>
      <c r="K79" s="10" t="s">
        <v>75</v>
      </c>
      <c r="L79" s="14">
        <f t="shared" si="1"/>
        <v>1.936111111</v>
      </c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4" t="s">
        <v>361</v>
      </c>
      <c r="B80" s="4" t="s">
        <v>362</v>
      </c>
      <c r="C80" s="4" t="s">
        <v>32</v>
      </c>
      <c r="D80" s="4" t="s">
        <v>78</v>
      </c>
      <c r="E80" s="4" t="s">
        <v>34</v>
      </c>
      <c r="F80" s="4" t="s">
        <v>363</v>
      </c>
      <c r="G80" s="6" t="s">
        <v>364</v>
      </c>
      <c r="H80" s="7">
        <v>45536.0</v>
      </c>
      <c r="I80" s="4" t="s">
        <v>81</v>
      </c>
      <c r="J80" s="4" t="s">
        <v>20</v>
      </c>
      <c r="K80" s="4" t="s">
        <v>82</v>
      </c>
      <c r="L80" s="8">
        <f t="shared" si="1"/>
        <v>1.883333333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0" t="s">
        <v>365</v>
      </c>
      <c r="B81" s="10" t="s">
        <v>366</v>
      </c>
      <c r="C81" s="10" t="s">
        <v>24</v>
      </c>
      <c r="D81" s="10" t="s">
        <v>85</v>
      </c>
      <c r="E81" s="10" t="s">
        <v>26</v>
      </c>
      <c r="F81" s="10" t="s">
        <v>367</v>
      </c>
      <c r="G81" s="12" t="s">
        <v>368</v>
      </c>
      <c r="H81" s="18">
        <v>45580.0</v>
      </c>
      <c r="I81" s="10" t="s">
        <v>19</v>
      </c>
      <c r="J81" s="10" t="s">
        <v>20</v>
      </c>
      <c r="K81" s="10" t="s">
        <v>88</v>
      </c>
      <c r="L81" s="14">
        <f t="shared" si="1"/>
        <v>1.761111111</v>
      </c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4" t="s">
        <v>369</v>
      </c>
      <c r="B82" s="4" t="s">
        <v>370</v>
      </c>
      <c r="C82" s="4" t="s">
        <v>14</v>
      </c>
      <c r="D82" s="4" t="s">
        <v>15</v>
      </c>
      <c r="E82" s="4" t="s">
        <v>16</v>
      </c>
      <c r="F82" s="4" t="s">
        <v>371</v>
      </c>
      <c r="G82" s="6" t="s">
        <v>372</v>
      </c>
      <c r="H82" s="7">
        <v>45296.0</v>
      </c>
      <c r="I82" s="4" t="s">
        <v>19</v>
      </c>
      <c r="J82" s="4" t="s">
        <v>20</v>
      </c>
      <c r="K82" s="4" t="s">
        <v>21</v>
      </c>
      <c r="L82" s="8">
        <f t="shared" si="1"/>
        <v>2.538888889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0" t="s">
        <v>373</v>
      </c>
      <c r="B83" s="10" t="s">
        <v>374</v>
      </c>
      <c r="C83" s="10" t="s">
        <v>24</v>
      </c>
      <c r="D83" s="10" t="s">
        <v>25</v>
      </c>
      <c r="E83" s="10" t="s">
        <v>26</v>
      </c>
      <c r="F83" s="10" t="s">
        <v>375</v>
      </c>
      <c r="G83" s="12" t="s">
        <v>376</v>
      </c>
      <c r="H83" s="18">
        <v>45337.0</v>
      </c>
      <c r="I83" s="10" t="s">
        <v>19</v>
      </c>
      <c r="J83" s="10" t="s">
        <v>20</v>
      </c>
      <c r="K83" s="10" t="s">
        <v>29</v>
      </c>
      <c r="L83" s="14">
        <f t="shared" si="1"/>
        <v>2.427777778</v>
      </c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4" t="s">
        <v>377</v>
      </c>
      <c r="B84" s="4" t="s">
        <v>378</v>
      </c>
      <c r="C84" s="4" t="s">
        <v>32</v>
      </c>
      <c r="D84" s="4" t="s">
        <v>33</v>
      </c>
      <c r="E84" s="4" t="s">
        <v>34</v>
      </c>
      <c r="F84" s="4" t="s">
        <v>379</v>
      </c>
      <c r="G84" s="6" t="s">
        <v>380</v>
      </c>
      <c r="H84" s="7">
        <v>45371.0</v>
      </c>
      <c r="I84" s="4" t="s">
        <v>19</v>
      </c>
      <c r="J84" s="4" t="s">
        <v>20</v>
      </c>
      <c r="K84" s="4" t="s">
        <v>37</v>
      </c>
      <c r="L84" s="8">
        <f t="shared" si="1"/>
        <v>2.330555556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0" t="s">
        <v>381</v>
      </c>
      <c r="B85" s="10" t="s">
        <v>382</v>
      </c>
      <c r="C85" s="10" t="s">
        <v>40</v>
      </c>
      <c r="D85" s="10" t="s">
        <v>41</v>
      </c>
      <c r="E85" s="10" t="s">
        <v>42</v>
      </c>
      <c r="F85" s="10" t="s">
        <v>383</v>
      </c>
      <c r="G85" s="12" t="s">
        <v>384</v>
      </c>
      <c r="H85" s="18">
        <v>45392.0</v>
      </c>
      <c r="I85" s="10" t="s">
        <v>19</v>
      </c>
      <c r="J85" s="10" t="s">
        <v>20</v>
      </c>
      <c r="K85" s="10" t="s">
        <v>45</v>
      </c>
      <c r="L85" s="14">
        <f t="shared" si="1"/>
        <v>2.275</v>
      </c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4" t="s">
        <v>385</v>
      </c>
      <c r="B86" s="4" t="s">
        <v>386</v>
      </c>
      <c r="C86" s="4" t="s">
        <v>48</v>
      </c>
      <c r="D86" s="4" t="s">
        <v>49</v>
      </c>
      <c r="E86" s="4" t="s">
        <v>50</v>
      </c>
      <c r="F86" s="4" t="s">
        <v>387</v>
      </c>
      <c r="G86" s="6" t="s">
        <v>388</v>
      </c>
      <c r="H86" s="7">
        <v>45420.0</v>
      </c>
      <c r="I86" s="4" t="s">
        <v>53</v>
      </c>
      <c r="J86" s="4" t="s">
        <v>20</v>
      </c>
      <c r="K86" s="4" t="s">
        <v>54</v>
      </c>
      <c r="L86" s="8">
        <f t="shared" si="1"/>
        <v>2.197222222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0" t="s">
        <v>389</v>
      </c>
      <c r="B87" s="10" t="s">
        <v>390</v>
      </c>
      <c r="C87" s="10" t="s">
        <v>57</v>
      </c>
      <c r="D87" s="10" t="s">
        <v>58</v>
      </c>
      <c r="E87" s="10" t="s">
        <v>59</v>
      </c>
      <c r="F87" s="10" t="s">
        <v>391</v>
      </c>
      <c r="G87" s="12" t="s">
        <v>392</v>
      </c>
      <c r="H87" s="18">
        <v>45461.0</v>
      </c>
      <c r="I87" s="10" t="s">
        <v>19</v>
      </c>
      <c r="J87" s="10" t="s">
        <v>20</v>
      </c>
      <c r="K87" s="10" t="s">
        <v>62</v>
      </c>
      <c r="L87" s="14">
        <f t="shared" si="1"/>
        <v>2.086111111</v>
      </c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4" t="s">
        <v>393</v>
      </c>
      <c r="B88" s="4" t="s">
        <v>394</v>
      </c>
      <c r="C88" s="4" t="s">
        <v>65</v>
      </c>
      <c r="D88" s="4" t="s">
        <v>66</v>
      </c>
      <c r="E88" s="4" t="s">
        <v>16</v>
      </c>
      <c r="F88" s="4" t="s">
        <v>395</v>
      </c>
      <c r="G88" s="6" t="s">
        <v>396</v>
      </c>
      <c r="H88" s="7">
        <v>45498.0</v>
      </c>
      <c r="I88" s="4" t="s">
        <v>19</v>
      </c>
      <c r="J88" s="4" t="s">
        <v>20</v>
      </c>
      <c r="K88" s="4" t="s">
        <v>21</v>
      </c>
      <c r="L88" s="8">
        <f t="shared" si="1"/>
        <v>1.983333333</v>
      </c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0" t="s">
        <v>397</v>
      </c>
      <c r="B89" s="10" t="s">
        <v>398</v>
      </c>
      <c r="C89" s="10" t="s">
        <v>14</v>
      </c>
      <c r="D89" s="10" t="s">
        <v>71</v>
      </c>
      <c r="E89" s="10" t="s">
        <v>16</v>
      </c>
      <c r="F89" s="10" t="s">
        <v>399</v>
      </c>
      <c r="G89" s="12" t="s">
        <v>400</v>
      </c>
      <c r="H89" s="18">
        <v>45516.0</v>
      </c>
      <c r="I89" s="10" t="s">
        <v>19</v>
      </c>
      <c r="J89" s="10" t="s">
        <v>74</v>
      </c>
      <c r="K89" s="10" t="s">
        <v>75</v>
      </c>
      <c r="L89" s="14">
        <f t="shared" si="1"/>
        <v>1.936111111</v>
      </c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4" t="s">
        <v>401</v>
      </c>
      <c r="B90" s="4" t="s">
        <v>402</v>
      </c>
      <c r="C90" s="4" t="s">
        <v>32</v>
      </c>
      <c r="D90" s="4" t="s">
        <v>78</v>
      </c>
      <c r="E90" s="4" t="s">
        <v>34</v>
      </c>
      <c r="F90" s="4" t="s">
        <v>403</v>
      </c>
      <c r="G90" s="6" t="s">
        <v>404</v>
      </c>
      <c r="H90" s="7">
        <v>45536.0</v>
      </c>
      <c r="I90" s="4" t="s">
        <v>81</v>
      </c>
      <c r="J90" s="4" t="s">
        <v>20</v>
      </c>
      <c r="K90" s="4" t="s">
        <v>82</v>
      </c>
      <c r="L90" s="8">
        <f t="shared" si="1"/>
        <v>1.883333333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0" t="s">
        <v>405</v>
      </c>
      <c r="B91" s="10" t="s">
        <v>406</v>
      </c>
      <c r="C91" s="10" t="s">
        <v>24</v>
      </c>
      <c r="D91" s="10" t="s">
        <v>85</v>
      </c>
      <c r="E91" s="10" t="s">
        <v>26</v>
      </c>
      <c r="F91" s="10" t="s">
        <v>407</v>
      </c>
      <c r="G91" s="12" t="s">
        <v>408</v>
      </c>
      <c r="H91" s="18">
        <v>45580.0</v>
      </c>
      <c r="I91" s="10" t="s">
        <v>19</v>
      </c>
      <c r="J91" s="10" t="s">
        <v>20</v>
      </c>
      <c r="K91" s="10" t="s">
        <v>88</v>
      </c>
      <c r="L91" s="14">
        <f t="shared" si="1"/>
        <v>1.761111111</v>
      </c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4" t="s">
        <v>409</v>
      </c>
      <c r="B92" s="4" t="s">
        <v>410</v>
      </c>
      <c r="C92" s="4" t="s">
        <v>14</v>
      </c>
      <c r="D92" s="4" t="s">
        <v>15</v>
      </c>
      <c r="E92" s="4" t="s">
        <v>16</v>
      </c>
      <c r="F92" s="4" t="s">
        <v>411</v>
      </c>
      <c r="G92" s="6" t="s">
        <v>412</v>
      </c>
      <c r="H92" s="7">
        <v>45296.0</v>
      </c>
      <c r="I92" s="4" t="s">
        <v>19</v>
      </c>
      <c r="J92" s="4" t="s">
        <v>20</v>
      </c>
      <c r="K92" s="4" t="s">
        <v>21</v>
      </c>
      <c r="L92" s="8">
        <f t="shared" si="1"/>
        <v>2.538888889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0" t="s">
        <v>413</v>
      </c>
      <c r="B93" s="10" t="s">
        <v>414</v>
      </c>
      <c r="C93" s="10" t="s">
        <v>24</v>
      </c>
      <c r="D93" s="10" t="s">
        <v>25</v>
      </c>
      <c r="E93" s="10" t="s">
        <v>26</v>
      </c>
      <c r="F93" s="10" t="s">
        <v>415</v>
      </c>
      <c r="G93" s="12" t="s">
        <v>416</v>
      </c>
      <c r="H93" s="18">
        <v>45337.0</v>
      </c>
      <c r="I93" s="10" t="s">
        <v>19</v>
      </c>
      <c r="J93" s="10" t="s">
        <v>20</v>
      </c>
      <c r="K93" s="10" t="s">
        <v>29</v>
      </c>
      <c r="L93" s="14">
        <f t="shared" si="1"/>
        <v>2.427777778</v>
      </c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4" t="s">
        <v>417</v>
      </c>
      <c r="B94" s="4" t="s">
        <v>418</v>
      </c>
      <c r="C94" s="4" t="s">
        <v>32</v>
      </c>
      <c r="D94" s="4" t="s">
        <v>33</v>
      </c>
      <c r="E94" s="4" t="s">
        <v>34</v>
      </c>
      <c r="F94" s="4" t="s">
        <v>419</v>
      </c>
      <c r="G94" s="6" t="s">
        <v>420</v>
      </c>
      <c r="H94" s="7">
        <v>45371.0</v>
      </c>
      <c r="I94" s="4" t="s">
        <v>19</v>
      </c>
      <c r="J94" s="4" t="s">
        <v>20</v>
      </c>
      <c r="K94" s="4" t="s">
        <v>37</v>
      </c>
      <c r="L94" s="8">
        <f t="shared" si="1"/>
        <v>2.330555556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0" t="s">
        <v>421</v>
      </c>
      <c r="B95" s="10" t="s">
        <v>422</v>
      </c>
      <c r="C95" s="10" t="s">
        <v>40</v>
      </c>
      <c r="D95" s="10" t="s">
        <v>41</v>
      </c>
      <c r="E95" s="10" t="s">
        <v>42</v>
      </c>
      <c r="F95" s="10" t="s">
        <v>423</v>
      </c>
      <c r="G95" s="12" t="s">
        <v>424</v>
      </c>
      <c r="H95" s="18">
        <v>45392.0</v>
      </c>
      <c r="I95" s="10" t="s">
        <v>19</v>
      </c>
      <c r="J95" s="10" t="s">
        <v>20</v>
      </c>
      <c r="K95" s="10" t="s">
        <v>45</v>
      </c>
      <c r="L95" s="14">
        <f t="shared" si="1"/>
        <v>2.275</v>
      </c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4" t="s">
        <v>425</v>
      </c>
      <c r="B96" s="4" t="s">
        <v>426</v>
      </c>
      <c r="C96" s="4" t="s">
        <v>48</v>
      </c>
      <c r="D96" s="4" t="s">
        <v>49</v>
      </c>
      <c r="E96" s="4" t="s">
        <v>50</v>
      </c>
      <c r="F96" s="4" t="s">
        <v>427</v>
      </c>
      <c r="G96" s="6" t="s">
        <v>428</v>
      </c>
      <c r="H96" s="7">
        <v>45420.0</v>
      </c>
      <c r="I96" s="4" t="s">
        <v>53</v>
      </c>
      <c r="J96" s="4" t="s">
        <v>20</v>
      </c>
      <c r="K96" s="4" t="s">
        <v>54</v>
      </c>
      <c r="L96" s="8">
        <f t="shared" si="1"/>
        <v>2.197222222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0" t="s">
        <v>429</v>
      </c>
      <c r="B97" s="10" t="s">
        <v>430</v>
      </c>
      <c r="C97" s="10" t="s">
        <v>57</v>
      </c>
      <c r="D97" s="10" t="s">
        <v>58</v>
      </c>
      <c r="E97" s="10" t="s">
        <v>59</v>
      </c>
      <c r="F97" s="10" t="s">
        <v>431</v>
      </c>
      <c r="G97" s="12" t="s">
        <v>432</v>
      </c>
      <c r="H97" s="18">
        <v>45461.0</v>
      </c>
      <c r="I97" s="10" t="s">
        <v>19</v>
      </c>
      <c r="J97" s="10" t="s">
        <v>20</v>
      </c>
      <c r="K97" s="10" t="s">
        <v>62</v>
      </c>
      <c r="L97" s="14">
        <f t="shared" si="1"/>
        <v>2.086111111</v>
      </c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4" t="s">
        <v>433</v>
      </c>
      <c r="B98" s="4" t="s">
        <v>434</v>
      </c>
      <c r="C98" s="4" t="s">
        <v>65</v>
      </c>
      <c r="D98" s="4" t="s">
        <v>66</v>
      </c>
      <c r="E98" s="4" t="s">
        <v>16</v>
      </c>
      <c r="F98" s="4" t="s">
        <v>435</v>
      </c>
      <c r="G98" s="6" t="s">
        <v>436</v>
      </c>
      <c r="H98" s="7">
        <v>45498.0</v>
      </c>
      <c r="I98" s="4" t="s">
        <v>19</v>
      </c>
      <c r="J98" s="4" t="s">
        <v>20</v>
      </c>
      <c r="K98" s="4" t="s">
        <v>21</v>
      </c>
      <c r="L98" s="8">
        <f t="shared" si="1"/>
        <v>1.983333333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0" t="s">
        <v>437</v>
      </c>
      <c r="B99" s="10" t="s">
        <v>438</v>
      </c>
      <c r="C99" s="10" t="s">
        <v>14</v>
      </c>
      <c r="D99" s="10" t="s">
        <v>71</v>
      </c>
      <c r="E99" s="10" t="s">
        <v>16</v>
      </c>
      <c r="F99" s="10" t="s">
        <v>439</v>
      </c>
      <c r="G99" s="12" t="s">
        <v>440</v>
      </c>
      <c r="H99" s="18">
        <v>45516.0</v>
      </c>
      <c r="I99" s="10" t="s">
        <v>19</v>
      </c>
      <c r="J99" s="10" t="s">
        <v>74</v>
      </c>
      <c r="K99" s="10" t="s">
        <v>75</v>
      </c>
      <c r="L99" s="14">
        <f t="shared" si="1"/>
        <v>1.936111111</v>
      </c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4" t="s">
        <v>441</v>
      </c>
      <c r="B100" s="4" t="s">
        <v>442</v>
      </c>
      <c r="C100" s="4" t="s">
        <v>32</v>
      </c>
      <c r="D100" s="4" t="s">
        <v>78</v>
      </c>
      <c r="E100" s="4" t="s">
        <v>34</v>
      </c>
      <c r="F100" s="4" t="s">
        <v>443</v>
      </c>
      <c r="G100" s="6" t="s">
        <v>444</v>
      </c>
      <c r="H100" s="7">
        <v>45536.0</v>
      </c>
      <c r="I100" s="4" t="s">
        <v>81</v>
      </c>
      <c r="J100" s="4" t="s">
        <v>20</v>
      </c>
      <c r="K100" s="4" t="s">
        <v>82</v>
      </c>
      <c r="L100" s="8">
        <f t="shared" si="1"/>
        <v>1.883333333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0" t="s">
        <v>445</v>
      </c>
      <c r="B101" s="10" t="s">
        <v>446</v>
      </c>
      <c r="C101" s="10" t="s">
        <v>24</v>
      </c>
      <c r="D101" s="10" t="s">
        <v>85</v>
      </c>
      <c r="E101" s="10" t="s">
        <v>26</v>
      </c>
      <c r="F101" s="10" t="s">
        <v>447</v>
      </c>
      <c r="G101" s="12" t="s">
        <v>448</v>
      </c>
      <c r="H101" s="18">
        <v>45580.0</v>
      </c>
      <c r="I101" s="10" t="s">
        <v>19</v>
      </c>
      <c r="J101" s="10" t="s">
        <v>20</v>
      </c>
      <c r="K101" s="10" t="s">
        <v>88</v>
      </c>
      <c r="L101" s="14">
        <f t="shared" si="1"/>
        <v>1.761111111</v>
      </c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4" t="s">
        <v>449</v>
      </c>
      <c r="B102" s="4" t="s">
        <v>450</v>
      </c>
      <c r="C102" s="4" t="s">
        <v>14</v>
      </c>
      <c r="D102" s="4" t="s">
        <v>15</v>
      </c>
      <c r="E102" s="4" t="s">
        <v>16</v>
      </c>
      <c r="F102" s="4" t="s">
        <v>451</v>
      </c>
      <c r="G102" s="6" t="s">
        <v>452</v>
      </c>
      <c r="H102" s="7">
        <v>45296.0</v>
      </c>
      <c r="I102" s="4" t="s">
        <v>19</v>
      </c>
      <c r="J102" s="4" t="s">
        <v>20</v>
      </c>
      <c r="K102" s="4" t="s">
        <v>21</v>
      </c>
      <c r="L102" s="8">
        <f t="shared" si="1"/>
        <v>2.538888889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0" t="s">
        <v>453</v>
      </c>
      <c r="B103" s="10" t="s">
        <v>454</v>
      </c>
      <c r="C103" s="10" t="s">
        <v>24</v>
      </c>
      <c r="D103" s="10" t="s">
        <v>25</v>
      </c>
      <c r="E103" s="10" t="s">
        <v>26</v>
      </c>
      <c r="F103" s="10" t="s">
        <v>455</v>
      </c>
      <c r="G103" s="12" t="s">
        <v>456</v>
      </c>
      <c r="H103" s="18">
        <v>45337.0</v>
      </c>
      <c r="I103" s="10" t="s">
        <v>19</v>
      </c>
      <c r="J103" s="10" t="s">
        <v>20</v>
      </c>
      <c r="K103" s="10" t="s">
        <v>29</v>
      </c>
      <c r="L103" s="14">
        <f t="shared" si="1"/>
        <v>2.427777778</v>
      </c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4" t="s">
        <v>457</v>
      </c>
      <c r="B104" s="4" t="s">
        <v>458</v>
      </c>
      <c r="C104" s="4" t="s">
        <v>32</v>
      </c>
      <c r="D104" s="4" t="s">
        <v>33</v>
      </c>
      <c r="E104" s="4" t="s">
        <v>34</v>
      </c>
      <c r="F104" s="4" t="s">
        <v>459</v>
      </c>
      <c r="G104" s="6" t="s">
        <v>460</v>
      </c>
      <c r="H104" s="7">
        <v>45371.0</v>
      </c>
      <c r="I104" s="4" t="s">
        <v>19</v>
      </c>
      <c r="J104" s="4" t="s">
        <v>20</v>
      </c>
      <c r="K104" s="4" t="s">
        <v>37</v>
      </c>
      <c r="L104" s="8">
        <f t="shared" si="1"/>
        <v>2.330555556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0" t="s">
        <v>461</v>
      </c>
      <c r="B105" s="10" t="s">
        <v>462</v>
      </c>
      <c r="C105" s="10" t="s">
        <v>40</v>
      </c>
      <c r="D105" s="10" t="s">
        <v>41</v>
      </c>
      <c r="E105" s="10" t="s">
        <v>42</v>
      </c>
      <c r="F105" s="10" t="s">
        <v>463</v>
      </c>
      <c r="G105" s="12" t="s">
        <v>464</v>
      </c>
      <c r="H105" s="18">
        <v>45392.0</v>
      </c>
      <c r="I105" s="10" t="s">
        <v>19</v>
      </c>
      <c r="J105" s="10" t="s">
        <v>20</v>
      </c>
      <c r="K105" s="10" t="s">
        <v>45</v>
      </c>
      <c r="L105" s="14">
        <f t="shared" si="1"/>
        <v>2.275</v>
      </c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4" t="s">
        <v>465</v>
      </c>
      <c r="B106" s="4" t="s">
        <v>466</v>
      </c>
      <c r="C106" s="4" t="s">
        <v>48</v>
      </c>
      <c r="D106" s="4" t="s">
        <v>49</v>
      </c>
      <c r="E106" s="4" t="s">
        <v>50</v>
      </c>
      <c r="F106" s="4" t="s">
        <v>467</v>
      </c>
      <c r="G106" s="6" t="s">
        <v>468</v>
      </c>
      <c r="H106" s="7">
        <v>45420.0</v>
      </c>
      <c r="I106" s="4" t="s">
        <v>53</v>
      </c>
      <c r="J106" s="4" t="s">
        <v>20</v>
      </c>
      <c r="K106" s="4" t="s">
        <v>54</v>
      </c>
      <c r="L106" s="8">
        <f t="shared" si="1"/>
        <v>2.197222222</v>
      </c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0" t="s">
        <v>469</v>
      </c>
      <c r="B107" s="10" t="s">
        <v>470</v>
      </c>
      <c r="C107" s="10" t="s">
        <v>57</v>
      </c>
      <c r="D107" s="10" t="s">
        <v>58</v>
      </c>
      <c r="E107" s="10" t="s">
        <v>59</v>
      </c>
      <c r="F107" s="10" t="s">
        <v>471</v>
      </c>
      <c r="G107" s="12" t="s">
        <v>472</v>
      </c>
      <c r="H107" s="18">
        <v>45461.0</v>
      </c>
      <c r="I107" s="10" t="s">
        <v>19</v>
      </c>
      <c r="J107" s="10" t="s">
        <v>20</v>
      </c>
      <c r="K107" s="10" t="s">
        <v>62</v>
      </c>
      <c r="L107" s="14">
        <f t="shared" si="1"/>
        <v>2.086111111</v>
      </c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4" t="s">
        <v>473</v>
      </c>
      <c r="B108" s="4" t="s">
        <v>474</v>
      </c>
      <c r="C108" s="4" t="s">
        <v>65</v>
      </c>
      <c r="D108" s="4" t="s">
        <v>66</v>
      </c>
      <c r="E108" s="4" t="s">
        <v>16</v>
      </c>
      <c r="F108" s="4" t="s">
        <v>475</v>
      </c>
      <c r="G108" s="6" t="s">
        <v>476</v>
      </c>
      <c r="H108" s="7">
        <v>45498.0</v>
      </c>
      <c r="I108" s="4" t="s">
        <v>19</v>
      </c>
      <c r="J108" s="4" t="s">
        <v>20</v>
      </c>
      <c r="K108" s="4" t="s">
        <v>21</v>
      </c>
      <c r="L108" s="8">
        <f t="shared" si="1"/>
        <v>1.983333333</v>
      </c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0" t="s">
        <v>477</v>
      </c>
      <c r="B109" s="10" t="s">
        <v>478</v>
      </c>
      <c r="C109" s="10" t="s">
        <v>14</v>
      </c>
      <c r="D109" s="10" t="s">
        <v>71</v>
      </c>
      <c r="E109" s="10" t="s">
        <v>16</v>
      </c>
      <c r="F109" s="10" t="s">
        <v>479</v>
      </c>
      <c r="G109" s="12" t="s">
        <v>480</v>
      </c>
      <c r="H109" s="18">
        <v>45516.0</v>
      </c>
      <c r="I109" s="10" t="s">
        <v>19</v>
      </c>
      <c r="J109" s="10" t="s">
        <v>74</v>
      </c>
      <c r="K109" s="10" t="s">
        <v>75</v>
      </c>
      <c r="L109" s="14">
        <f t="shared" si="1"/>
        <v>1.936111111</v>
      </c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4" t="s">
        <v>481</v>
      </c>
      <c r="B110" s="4" t="s">
        <v>482</v>
      </c>
      <c r="C110" s="4" t="s">
        <v>32</v>
      </c>
      <c r="D110" s="4" t="s">
        <v>78</v>
      </c>
      <c r="E110" s="4" t="s">
        <v>34</v>
      </c>
      <c r="F110" s="4" t="s">
        <v>483</v>
      </c>
      <c r="G110" s="6" t="s">
        <v>484</v>
      </c>
      <c r="H110" s="7">
        <v>45536.0</v>
      </c>
      <c r="I110" s="4" t="s">
        <v>81</v>
      </c>
      <c r="J110" s="4" t="s">
        <v>20</v>
      </c>
      <c r="K110" s="4" t="s">
        <v>82</v>
      </c>
      <c r="L110" s="8">
        <f t="shared" si="1"/>
        <v>1.883333333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0" t="s">
        <v>485</v>
      </c>
      <c r="B111" s="10" t="s">
        <v>486</v>
      </c>
      <c r="C111" s="10" t="s">
        <v>24</v>
      </c>
      <c r="D111" s="10" t="s">
        <v>85</v>
      </c>
      <c r="E111" s="10" t="s">
        <v>26</v>
      </c>
      <c r="F111" s="10" t="s">
        <v>487</v>
      </c>
      <c r="G111" s="12" t="s">
        <v>488</v>
      </c>
      <c r="H111" s="18">
        <v>45580.0</v>
      </c>
      <c r="I111" s="10" t="s">
        <v>19</v>
      </c>
      <c r="J111" s="10" t="s">
        <v>20</v>
      </c>
      <c r="K111" s="10" t="s">
        <v>88</v>
      </c>
      <c r="L111" s="14">
        <f t="shared" si="1"/>
        <v>1.761111111</v>
      </c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>
      <c r="A1002" s="19"/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>
      <c r="A1004" s="19"/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>
      <c r="A1006" s="19"/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>
      <c r="A1008" s="19"/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>
      <c r="A1010" s="19"/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  <c r="Z1011" s="15"/>
    </row>
    <row r="1012">
      <c r="A1012" s="19"/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  <c r="Z1013" s="15"/>
    </row>
    <row r="1014">
      <c r="A1014" s="19"/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  <c r="Z1015" s="15"/>
    </row>
    <row r="1016">
      <c r="A1016" s="19"/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  <c r="Z1017" s="15"/>
    </row>
    <row r="1018">
      <c r="A1018" s="19"/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20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  <c r="Z1019" s="15"/>
    </row>
    <row r="1020">
      <c r="A1020" s="19"/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20"/>
      <c r="B1021" s="20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  <c r="Z1021" s="15"/>
    </row>
    <row r="1022">
      <c r="A1022" s="19"/>
      <c r="B1022" s="19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20"/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  <c r="Z1023" s="15"/>
    </row>
    <row r="1024">
      <c r="A1024" s="19"/>
      <c r="B1024" s="19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20"/>
      <c r="B1025" s="20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  <c r="Z1025" s="15"/>
    </row>
    <row r="1026">
      <c r="A1026" s="19"/>
      <c r="B1026" s="19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20"/>
      <c r="B1027" s="20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  <c r="Z1027" s="15"/>
    </row>
    <row r="1028">
      <c r="A1028" s="19"/>
      <c r="B1028" s="19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20"/>
      <c r="B1029" s="20"/>
      <c r="C1029" s="20"/>
      <c r="D1029" s="20"/>
      <c r="E1029" s="20"/>
      <c r="F1029" s="20"/>
      <c r="G1029" s="20"/>
      <c r="H1029" s="20"/>
      <c r="I1029" s="20"/>
      <c r="J1029" s="20"/>
      <c r="K1029" s="20"/>
      <c r="L1029" s="20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  <c r="Z1029" s="15"/>
    </row>
    <row r="1030">
      <c r="A1030" s="19"/>
      <c r="B1030" s="19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20"/>
      <c r="B1031" s="20"/>
      <c r="C1031" s="20"/>
      <c r="D1031" s="20"/>
      <c r="E1031" s="20"/>
      <c r="F1031" s="20"/>
      <c r="G1031" s="20"/>
      <c r="H1031" s="20"/>
      <c r="I1031" s="20"/>
      <c r="J1031" s="20"/>
      <c r="K1031" s="20"/>
      <c r="L1031" s="20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  <c r="Z1031" s="15"/>
    </row>
    <row r="1032">
      <c r="A1032" s="19"/>
      <c r="B1032" s="19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20"/>
      <c r="B1033" s="20"/>
      <c r="C1033" s="20"/>
      <c r="D1033" s="20"/>
      <c r="E1033" s="20"/>
      <c r="F1033" s="20"/>
      <c r="G1033" s="20"/>
      <c r="H1033" s="20"/>
      <c r="I1033" s="20"/>
      <c r="J1033" s="20"/>
      <c r="K1033" s="20"/>
      <c r="L1033" s="20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  <c r="Z1033" s="15"/>
    </row>
    <row r="1034">
      <c r="A1034" s="19"/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20"/>
      <c r="B1035" s="20"/>
      <c r="C1035" s="20"/>
      <c r="D1035" s="20"/>
      <c r="E1035" s="20"/>
      <c r="F1035" s="20"/>
      <c r="G1035" s="20"/>
      <c r="H1035" s="20"/>
      <c r="I1035" s="20"/>
      <c r="J1035" s="20"/>
      <c r="K1035" s="20"/>
      <c r="L1035" s="20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  <c r="Z1035" s="15"/>
    </row>
    <row r="1036">
      <c r="A1036" s="19"/>
      <c r="B1036" s="19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20"/>
      <c r="B1037" s="20"/>
      <c r="C1037" s="20"/>
      <c r="D1037" s="20"/>
      <c r="E1037" s="20"/>
      <c r="F1037" s="20"/>
      <c r="G1037" s="20"/>
      <c r="H1037" s="20"/>
      <c r="I1037" s="20"/>
      <c r="J1037" s="20"/>
      <c r="K1037" s="20"/>
      <c r="L1037" s="20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  <c r="Z1037" s="15"/>
    </row>
    <row r="1038">
      <c r="A1038" s="19"/>
      <c r="B1038" s="19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20"/>
      <c r="B1039" s="20"/>
      <c r="C1039" s="20"/>
      <c r="D1039" s="20"/>
      <c r="E1039" s="20"/>
      <c r="F1039" s="20"/>
      <c r="G1039" s="20"/>
      <c r="H1039" s="20"/>
      <c r="I1039" s="20"/>
      <c r="J1039" s="20"/>
      <c r="K1039" s="20"/>
      <c r="L1039" s="20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  <c r="Y1039" s="15"/>
      <c r="Z1039" s="15"/>
    </row>
    <row r="1040">
      <c r="A1040" s="19"/>
      <c r="B1040" s="19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20"/>
      <c r="B1041" s="20"/>
      <c r="C1041" s="20"/>
      <c r="D1041" s="20"/>
      <c r="E1041" s="20"/>
      <c r="F1041" s="20"/>
      <c r="G1041" s="20"/>
      <c r="H1041" s="20"/>
      <c r="I1041" s="20"/>
      <c r="J1041" s="20"/>
      <c r="K1041" s="20"/>
      <c r="L1041" s="20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  <c r="Y1041" s="15"/>
      <c r="Z1041" s="15"/>
    </row>
    <row r="1042">
      <c r="A1042" s="19"/>
      <c r="B1042" s="19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A1043" s="20"/>
      <c r="B1043" s="20"/>
      <c r="C1043" s="20"/>
      <c r="D1043" s="20"/>
      <c r="E1043" s="20"/>
      <c r="F1043" s="20"/>
      <c r="G1043" s="20"/>
      <c r="H1043" s="20"/>
      <c r="I1043" s="20"/>
      <c r="J1043" s="20"/>
      <c r="K1043" s="20"/>
      <c r="L1043" s="20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  <c r="Y1043" s="15"/>
      <c r="Z1043" s="15"/>
    </row>
    <row r="1044">
      <c r="A1044" s="19"/>
      <c r="B1044" s="19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A1045" s="20"/>
      <c r="B1045" s="20"/>
      <c r="C1045" s="20"/>
      <c r="D1045" s="20"/>
      <c r="E1045" s="20"/>
      <c r="F1045" s="20"/>
      <c r="G1045" s="20"/>
      <c r="H1045" s="20"/>
      <c r="I1045" s="20"/>
      <c r="J1045" s="20"/>
      <c r="K1045" s="20"/>
      <c r="L1045" s="20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  <c r="Y1045" s="15"/>
      <c r="Z1045" s="15"/>
    </row>
    <row r="1046">
      <c r="A1046" s="19"/>
      <c r="B1046" s="19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</row>
    <row r="1047">
      <c r="A1047" s="20"/>
      <c r="B1047" s="20"/>
      <c r="C1047" s="20"/>
      <c r="D1047" s="20"/>
      <c r="E1047" s="20"/>
      <c r="F1047" s="20"/>
      <c r="G1047" s="20"/>
      <c r="H1047" s="20"/>
      <c r="I1047" s="20"/>
      <c r="J1047" s="20"/>
      <c r="K1047" s="20"/>
      <c r="L1047" s="20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  <c r="Y1047" s="15"/>
      <c r="Z1047" s="15"/>
    </row>
    <row r="1048">
      <c r="A1048" s="19"/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</row>
    <row r="1049">
      <c r="A1049" s="20"/>
      <c r="B1049" s="20"/>
      <c r="C1049" s="20"/>
      <c r="D1049" s="20"/>
      <c r="E1049" s="20"/>
      <c r="F1049" s="20"/>
      <c r="G1049" s="20"/>
      <c r="H1049" s="20"/>
      <c r="I1049" s="20"/>
      <c r="J1049" s="20"/>
      <c r="K1049" s="20"/>
      <c r="L1049" s="20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  <c r="Y1049" s="15"/>
      <c r="Z1049" s="15"/>
    </row>
    <row r="1050">
      <c r="A1050" s="19"/>
      <c r="B1050" s="19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</row>
    <row r="1051">
      <c r="A1051" s="20"/>
      <c r="B1051" s="20"/>
      <c r="C1051" s="20"/>
      <c r="D1051" s="20"/>
      <c r="E1051" s="20"/>
      <c r="F1051" s="20"/>
      <c r="G1051" s="20"/>
      <c r="H1051" s="20"/>
      <c r="I1051" s="20"/>
      <c r="J1051" s="20"/>
      <c r="K1051" s="20"/>
      <c r="L1051" s="20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  <c r="Y1051" s="15"/>
      <c r="Z1051" s="15"/>
    </row>
    <row r="1052">
      <c r="A1052" s="19"/>
      <c r="B1052" s="19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</row>
    <row r="1053">
      <c r="A1053" s="20"/>
      <c r="B1053" s="20"/>
      <c r="C1053" s="20"/>
      <c r="D1053" s="20"/>
      <c r="E1053" s="20"/>
      <c r="F1053" s="20"/>
      <c r="G1053" s="20"/>
      <c r="H1053" s="20"/>
      <c r="I1053" s="20"/>
      <c r="J1053" s="20"/>
      <c r="K1053" s="20"/>
      <c r="L1053" s="20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  <c r="Y1053" s="15"/>
      <c r="Z1053" s="15"/>
    </row>
    <row r="1054">
      <c r="A1054" s="19"/>
      <c r="B1054" s="19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</row>
    <row r="1055">
      <c r="A1055" s="20"/>
      <c r="B1055" s="20"/>
      <c r="C1055" s="20"/>
      <c r="D1055" s="20"/>
      <c r="E1055" s="20"/>
      <c r="F1055" s="20"/>
      <c r="G1055" s="20"/>
      <c r="H1055" s="20"/>
      <c r="I1055" s="20"/>
      <c r="J1055" s="20"/>
      <c r="K1055" s="20"/>
      <c r="L1055" s="20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  <c r="Y1055" s="15"/>
      <c r="Z1055" s="15"/>
    </row>
    <row r="1056">
      <c r="A1056" s="19"/>
      <c r="B1056" s="19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</row>
    <row r="1057">
      <c r="A1057" s="20"/>
      <c r="B1057" s="20"/>
      <c r="C1057" s="20"/>
      <c r="D1057" s="20"/>
      <c r="E1057" s="20"/>
      <c r="F1057" s="20"/>
      <c r="G1057" s="20"/>
      <c r="H1057" s="20"/>
      <c r="I1057" s="20"/>
      <c r="J1057" s="20"/>
      <c r="K1057" s="20"/>
      <c r="L1057" s="20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  <c r="Y1057" s="15"/>
      <c r="Z1057" s="15"/>
    </row>
    <row r="1058">
      <c r="A1058" s="19"/>
      <c r="B1058" s="19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</row>
    <row r="1059">
      <c r="A1059" s="20"/>
      <c r="B1059" s="20"/>
      <c r="C1059" s="20"/>
      <c r="D1059" s="20"/>
      <c r="E1059" s="20"/>
      <c r="F1059" s="20"/>
      <c r="G1059" s="20"/>
      <c r="H1059" s="20"/>
      <c r="I1059" s="20"/>
      <c r="J1059" s="20"/>
      <c r="K1059" s="20"/>
      <c r="L1059" s="20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  <c r="Y1059" s="15"/>
      <c r="Z1059" s="15"/>
    </row>
    <row r="1060">
      <c r="A1060" s="19"/>
      <c r="B1060" s="19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</row>
    <row r="1061">
      <c r="A1061" s="20"/>
      <c r="B1061" s="20"/>
      <c r="C1061" s="20"/>
      <c r="D1061" s="20"/>
      <c r="E1061" s="20"/>
      <c r="F1061" s="20"/>
      <c r="G1061" s="20"/>
      <c r="H1061" s="20"/>
      <c r="I1061" s="20"/>
      <c r="J1061" s="20"/>
      <c r="K1061" s="20"/>
      <c r="L1061" s="20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  <c r="Y1061" s="15"/>
      <c r="Z1061" s="15"/>
    </row>
    <row r="1062">
      <c r="A1062" s="19"/>
      <c r="B1062" s="19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</row>
    <row r="1063">
      <c r="A1063" s="20"/>
      <c r="B1063" s="20"/>
      <c r="C1063" s="20"/>
      <c r="D1063" s="20"/>
      <c r="E1063" s="20"/>
      <c r="F1063" s="20"/>
      <c r="G1063" s="20"/>
      <c r="H1063" s="20"/>
      <c r="I1063" s="20"/>
      <c r="J1063" s="20"/>
      <c r="K1063" s="20"/>
      <c r="L1063" s="20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  <c r="Y1063" s="15"/>
      <c r="Z1063" s="15"/>
    </row>
    <row r="1064">
      <c r="A1064" s="19"/>
      <c r="B1064" s="19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</row>
    <row r="1065">
      <c r="A1065" s="20"/>
      <c r="B1065" s="20"/>
      <c r="C1065" s="20"/>
      <c r="D1065" s="20"/>
      <c r="E1065" s="20"/>
      <c r="F1065" s="20"/>
      <c r="G1065" s="20"/>
      <c r="H1065" s="20"/>
      <c r="I1065" s="20"/>
      <c r="J1065" s="20"/>
      <c r="K1065" s="20"/>
      <c r="L1065" s="20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  <c r="Y1065" s="15"/>
      <c r="Z1065" s="15"/>
    </row>
    <row r="1066">
      <c r="A1066" s="19"/>
      <c r="B1066" s="19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</row>
    <row r="1067">
      <c r="A1067" s="20"/>
      <c r="B1067" s="20"/>
      <c r="C1067" s="20"/>
      <c r="D1067" s="20"/>
      <c r="E1067" s="20"/>
      <c r="F1067" s="20"/>
      <c r="G1067" s="20"/>
      <c r="H1067" s="20"/>
      <c r="I1067" s="20"/>
      <c r="J1067" s="20"/>
      <c r="K1067" s="20"/>
      <c r="L1067" s="20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  <c r="Y1067" s="15"/>
      <c r="Z1067" s="15"/>
    </row>
    <row r="1068">
      <c r="A1068" s="19"/>
      <c r="B1068" s="19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</row>
    <row r="1069">
      <c r="A1069" s="20"/>
      <c r="B1069" s="20"/>
      <c r="C1069" s="20"/>
      <c r="D1069" s="20"/>
      <c r="E1069" s="20"/>
      <c r="F1069" s="20"/>
      <c r="G1069" s="20"/>
      <c r="H1069" s="20"/>
      <c r="I1069" s="20"/>
      <c r="J1069" s="20"/>
      <c r="K1069" s="20"/>
      <c r="L1069" s="20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  <c r="Y1069" s="15"/>
      <c r="Z1069" s="15"/>
    </row>
    <row r="1070">
      <c r="A1070" s="19"/>
      <c r="B1070" s="19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</row>
    <row r="1071">
      <c r="A1071" s="20"/>
      <c r="B1071" s="20"/>
      <c r="C1071" s="20"/>
      <c r="D1071" s="20"/>
      <c r="E1071" s="20"/>
      <c r="F1071" s="20"/>
      <c r="G1071" s="20"/>
      <c r="H1071" s="20"/>
      <c r="I1071" s="20"/>
      <c r="J1071" s="20"/>
      <c r="K1071" s="20"/>
      <c r="L1071" s="20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  <c r="Y1071" s="15"/>
      <c r="Z1071" s="15"/>
    </row>
    <row r="1072">
      <c r="A1072" s="19"/>
      <c r="B1072" s="19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</row>
    <row r="1073">
      <c r="A1073" s="20"/>
      <c r="B1073" s="20"/>
      <c r="C1073" s="20"/>
      <c r="D1073" s="20"/>
      <c r="E1073" s="20"/>
      <c r="F1073" s="20"/>
      <c r="G1073" s="20"/>
      <c r="H1073" s="20"/>
      <c r="I1073" s="20"/>
      <c r="J1073" s="20"/>
      <c r="K1073" s="20"/>
      <c r="L1073" s="20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  <c r="Y1073" s="15"/>
      <c r="Z1073" s="15"/>
    </row>
    <row r="1074">
      <c r="A1074" s="19"/>
      <c r="B1074" s="19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</row>
    <row r="1075">
      <c r="A1075" s="20"/>
      <c r="B1075" s="20"/>
      <c r="C1075" s="20"/>
      <c r="D1075" s="20"/>
      <c r="E1075" s="20"/>
      <c r="F1075" s="20"/>
      <c r="G1075" s="20"/>
      <c r="H1075" s="20"/>
      <c r="I1075" s="20"/>
      <c r="J1075" s="20"/>
      <c r="K1075" s="20"/>
      <c r="L1075" s="20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  <c r="Y1075" s="15"/>
      <c r="Z1075" s="15"/>
    </row>
    <row r="1076">
      <c r="A1076" s="19"/>
      <c r="B1076" s="19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</row>
    <row r="1077">
      <c r="A1077" s="20"/>
      <c r="B1077" s="20"/>
      <c r="C1077" s="20"/>
      <c r="D1077" s="20"/>
      <c r="E1077" s="20"/>
      <c r="F1077" s="20"/>
      <c r="G1077" s="20"/>
      <c r="H1077" s="20"/>
      <c r="I1077" s="20"/>
      <c r="J1077" s="20"/>
      <c r="K1077" s="20"/>
      <c r="L1077" s="20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  <c r="Y1077" s="15"/>
      <c r="Z1077" s="15"/>
    </row>
    <row r="1078">
      <c r="A1078" s="19"/>
      <c r="B1078" s="19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</row>
    <row r="1079">
      <c r="A1079" s="20"/>
      <c r="B1079" s="20"/>
      <c r="C1079" s="20"/>
      <c r="D1079" s="20"/>
      <c r="E1079" s="20"/>
      <c r="F1079" s="20"/>
      <c r="G1079" s="20"/>
      <c r="H1079" s="20"/>
      <c r="I1079" s="20"/>
      <c r="J1079" s="20"/>
      <c r="K1079" s="20"/>
      <c r="L1079" s="20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  <c r="Y1079" s="15"/>
      <c r="Z1079" s="15"/>
    </row>
    <row r="1080">
      <c r="A1080" s="19"/>
      <c r="B1080" s="19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</row>
    <row r="1081">
      <c r="A1081" s="20"/>
      <c r="B1081" s="20"/>
      <c r="C1081" s="20"/>
      <c r="D1081" s="20"/>
      <c r="E1081" s="20"/>
      <c r="F1081" s="20"/>
      <c r="G1081" s="20"/>
      <c r="H1081" s="20"/>
      <c r="I1081" s="20"/>
      <c r="J1081" s="20"/>
      <c r="K1081" s="20"/>
      <c r="L1081" s="20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  <c r="Y1081" s="15"/>
      <c r="Z1081" s="15"/>
    </row>
    <row r="1082">
      <c r="A1082" s="19"/>
      <c r="B1082" s="19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</row>
    <row r="1083">
      <c r="A1083" s="20"/>
      <c r="B1083" s="20"/>
      <c r="C1083" s="20"/>
      <c r="D1083" s="20"/>
      <c r="E1083" s="20"/>
      <c r="F1083" s="20"/>
      <c r="G1083" s="20"/>
      <c r="H1083" s="20"/>
      <c r="I1083" s="20"/>
      <c r="J1083" s="20"/>
      <c r="K1083" s="20"/>
      <c r="L1083" s="20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  <c r="Y1083" s="15"/>
      <c r="Z1083" s="15"/>
    </row>
    <row r="1084">
      <c r="A1084" s="19"/>
      <c r="B1084" s="19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</row>
    <row r="1085">
      <c r="A1085" s="20"/>
      <c r="B1085" s="20"/>
      <c r="C1085" s="20"/>
      <c r="D1085" s="20"/>
      <c r="E1085" s="20"/>
      <c r="F1085" s="20"/>
      <c r="G1085" s="20"/>
      <c r="H1085" s="20"/>
      <c r="I1085" s="20"/>
      <c r="J1085" s="20"/>
      <c r="K1085" s="20"/>
      <c r="L1085" s="20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  <c r="Y1085" s="15"/>
      <c r="Z1085" s="15"/>
    </row>
    <row r="1086">
      <c r="A1086" s="19"/>
      <c r="B1086" s="19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</row>
    <row r="1087">
      <c r="A1087" s="20"/>
      <c r="B1087" s="20"/>
      <c r="C1087" s="20"/>
      <c r="D1087" s="20"/>
      <c r="E1087" s="20"/>
      <c r="F1087" s="20"/>
      <c r="G1087" s="20"/>
      <c r="H1087" s="20"/>
      <c r="I1087" s="20"/>
      <c r="J1087" s="20"/>
      <c r="K1087" s="20"/>
      <c r="L1087" s="20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  <c r="Y1087" s="15"/>
      <c r="Z1087" s="15"/>
    </row>
    <row r="1088">
      <c r="A1088" s="19"/>
      <c r="B1088" s="19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</row>
    <row r="1089">
      <c r="A1089" s="20"/>
      <c r="B1089" s="20"/>
      <c r="C1089" s="20"/>
      <c r="D1089" s="20"/>
      <c r="E1089" s="20"/>
      <c r="F1089" s="20"/>
      <c r="G1089" s="20"/>
      <c r="H1089" s="20"/>
      <c r="I1089" s="20"/>
      <c r="J1089" s="20"/>
      <c r="K1089" s="20"/>
      <c r="L1089" s="20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  <c r="Y1089" s="15"/>
      <c r="Z1089" s="15"/>
    </row>
    <row r="1090">
      <c r="A1090" s="19"/>
      <c r="B1090" s="19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</row>
    <row r="1091">
      <c r="A1091" s="20"/>
      <c r="B1091" s="20"/>
      <c r="C1091" s="20"/>
      <c r="D1091" s="20"/>
      <c r="E1091" s="20"/>
      <c r="F1091" s="20"/>
      <c r="G1091" s="20"/>
      <c r="H1091" s="20"/>
      <c r="I1091" s="20"/>
      <c r="J1091" s="20"/>
      <c r="K1091" s="20"/>
      <c r="L1091" s="20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  <c r="Y1091" s="15"/>
      <c r="Z1091" s="15"/>
    </row>
    <row r="1092">
      <c r="A1092" s="19"/>
      <c r="B1092" s="19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</row>
    <row r="1093">
      <c r="A1093" s="20"/>
      <c r="B1093" s="20"/>
      <c r="C1093" s="20"/>
      <c r="D1093" s="20"/>
      <c r="E1093" s="20"/>
      <c r="F1093" s="20"/>
      <c r="G1093" s="20"/>
      <c r="H1093" s="20"/>
      <c r="I1093" s="20"/>
      <c r="J1093" s="20"/>
      <c r="K1093" s="20"/>
      <c r="L1093" s="20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  <c r="Y1093" s="15"/>
      <c r="Z1093" s="15"/>
    </row>
    <row r="1094">
      <c r="A1094" s="19"/>
      <c r="B1094" s="19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</row>
    <row r="1095">
      <c r="A1095" s="20"/>
      <c r="B1095" s="20"/>
      <c r="C1095" s="20"/>
      <c r="D1095" s="20"/>
      <c r="E1095" s="20"/>
      <c r="F1095" s="20"/>
      <c r="G1095" s="20"/>
      <c r="H1095" s="20"/>
      <c r="I1095" s="20"/>
      <c r="J1095" s="20"/>
      <c r="K1095" s="20"/>
      <c r="L1095" s="20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  <c r="Y1095" s="15"/>
      <c r="Z1095" s="15"/>
    </row>
    <row r="1096">
      <c r="A1096" s="19"/>
      <c r="B1096" s="19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</row>
    <row r="1097">
      <c r="A1097" s="20"/>
      <c r="B1097" s="20"/>
      <c r="C1097" s="20"/>
      <c r="D1097" s="20"/>
      <c r="E1097" s="20"/>
      <c r="F1097" s="20"/>
      <c r="G1097" s="20"/>
      <c r="H1097" s="20"/>
      <c r="I1097" s="20"/>
      <c r="J1097" s="20"/>
      <c r="K1097" s="20"/>
      <c r="L1097" s="20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  <c r="Y1097" s="15"/>
      <c r="Z1097" s="15"/>
    </row>
    <row r="1098">
      <c r="A1098" s="19"/>
      <c r="B1098" s="19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</row>
    <row r="1099">
      <c r="A1099" s="20"/>
      <c r="B1099" s="20"/>
      <c r="C1099" s="20"/>
      <c r="D1099" s="20"/>
      <c r="E1099" s="20"/>
      <c r="F1099" s="20"/>
      <c r="G1099" s="20"/>
      <c r="H1099" s="20"/>
      <c r="I1099" s="20"/>
      <c r="J1099" s="20"/>
      <c r="K1099" s="20"/>
      <c r="L1099" s="20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  <c r="Y1099" s="15"/>
      <c r="Z1099" s="15"/>
    </row>
    <row r="1100">
      <c r="A1100" s="19"/>
      <c r="B1100" s="19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</row>
  </sheetData>
  <autoFilter ref="$A$1:$L$11">
    <sortState ref="A1:L11">
      <sortCondition ref="H1:H11"/>
      <sortCondition ref="A1:A11"/>
    </sortState>
  </autoFilter>
  <conditionalFormatting sqref="J1:J1100">
    <cfRule type="cellIs" dxfId="1" priority="1" operator="equal">
      <formula>"Active"</formula>
    </cfRule>
  </conditionalFormatting>
  <conditionalFormatting sqref="J1:J1100">
    <cfRule type="cellIs" dxfId="2" priority="2" operator="equal">
      <formula>"On Leave"</formula>
    </cfRule>
  </conditionalFormatting>
  <conditionalFormatting sqref="J1:J1100">
    <cfRule type="cellIs" dxfId="3" priority="3" operator="equal">
      <formula>"Resigned"</formula>
    </cfRule>
  </conditionalFormatting>
  <dataValidations>
    <dataValidation type="list" allowBlank="1" showErrorMessage="1" sqref="J2:J111">
      <formula1>"Active,On Leave"</formula1>
    </dataValidation>
    <dataValidation type="list" allowBlank="1" showErrorMessage="1" sqref="I2:I111">
      <formula1>"Contract,Full-Time,Intern"</formula1>
    </dataValidation>
    <dataValidation type="list" allowBlank="1" showErrorMessage="1" sqref="C2:C111">
      <formula1>"Administration,Customer Support,Finance,HR,IT,Marketing,Operations"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3" max="3" width="16.5"/>
    <col customWidth="1" min="4" max="4" width="27.0"/>
  </cols>
  <sheetData>
    <row r="8">
      <c r="C8" s="21" t="s">
        <v>0</v>
      </c>
      <c r="D8" s="22" t="s">
        <v>405</v>
      </c>
      <c r="E8" s="23"/>
    </row>
    <row r="9">
      <c r="C9" s="21" t="s">
        <v>489</v>
      </c>
      <c r="D9" s="23" t="str">
        <f t="array" ref="D9">XLOOKUP(D8,Sheet1!A:A,Sheet1!B:B)</f>
        <v>Ananya Bose 90</v>
      </c>
      <c r="E9" s="23"/>
    </row>
    <row r="10">
      <c r="C10" s="21" t="s">
        <v>2</v>
      </c>
      <c r="D10" s="23" t="str">
        <f t="array" ref="D10">XLOOKUP(D8,Sheet1!A:A,Sheet1!C:C)</f>
        <v>HR</v>
      </c>
      <c r="E10" s="23"/>
    </row>
    <row r="11">
      <c r="C11" s="21" t="s">
        <v>3</v>
      </c>
      <c r="D11" s="23" t="str">
        <f t="array" ref="D11">XLOOKUP(D8,Sheet1!A:A,Sheet1!D:D)</f>
        <v>Talent Acquisition Associate</v>
      </c>
      <c r="E11" s="23"/>
    </row>
    <row r="12">
      <c r="C12" s="21" t="s">
        <v>4</v>
      </c>
      <c r="D12" s="23" t="str">
        <f t="array" ref="D12">XLOOKUP(D8,Sheet1!A:A,Sheet1!E:E)</f>
        <v>Rahul Mehta</v>
      </c>
      <c r="E12" s="23"/>
    </row>
    <row r="13">
      <c r="C13" s="21" t="s">
        <v>5</v>
      </c>
      <c r="D13" s="23" t="str">
        <f t="array" ref="D13">XLOOKUP(D8,Sheet1!A:A,Sheet1!F:F)</f>
        <v>ananya.bose90@novabridge.com</v>
      </c>
      <c r="E13" s="23"/>
    </row>
    <row r="14">
      <c r="C14" s="21" t="s">
        <v>9</v>
      </c>
      <c r="D14" s="23" t="str">
        <f t="array" ref="D14">XLOOKUP(D8,Sheet1!A:A,Sheet1!J:J)</f>
        <v>Active</v>
      </c>
      <c r="E14" s="23"/>
    </row>
  </sheetData>
  <conditionalFormatting sqref="G15">
    <cfRule type="notContainsBlanks" dxfId="1" priority="1">
      <formula>LEN(TRIM(G15))&gt;0</formula>
    </cfRule>
  </conditionalFormatting>
  <conditionalFormatting sqref="G15">
    <cfRule type="notContainsBlanks" dxfId="1" priority="2">
      <formula>LEN(TRIM(G15))&gt;0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3" max="3" width="13.38"/>
    <col customWidth="1" min="4" max="4" width="19.75"/>
    <col customWidth="1" min="6" max="6" width="14.5"/>
  </cols>
  <sheetData>
    <row r="1">
      <c r="B1" s="24"/>
    </row>
    <row r="2">
      <c r="A2" s="21" t="s">
        <v>490</v>
      </c>
      <c r="B2" s="25">
        <f>COUNTA(Sheet1!B2:B1000)</f>
        <v>110</v>
      </c>
    </row>
    <row r="3">
      <c r="A3" s="21" t="s">
        <v>491</v>
      </c>
      <c r="B3" s="25">
        <f>COUNTIF(Sheet1!J2:J1000,"Active")</f>
        <v>99</v>
      </c>
    </row>
    <row r="4">
      <c r="A4" s="21" t="s">
        <v>493</v>
      </c>
      <c r="B4" s="25">
        <f>COUNTIF(Sheet1!J2:J1000,"On Leave")</f>
        <v>11</v>
      </c>
    </row>
    <row r="5">
      <c r="A5" s="21" t="s">
        <v>495</v>
      </c>
      <c r="B5" s="25">
        <f>COUNTIF(Sheet1!I2:I1000,"Full-Time")</f>
        <v>88</v>
      </c>
    </row>
    <row r="6">
      <c r="A6" s="21" t="s">
        <v>496</v>
      </c>
      <c r="B6" s="25">
        <f>COUNTIF(Sheet1!I2:I1000,"Contract")</f>
        <v>11</v>
      </c>
    </row>
    <row r="7">
      <c r="A7" s="21" t="s">
        <v>497</v>
      </c>
      <c r="B7" s="25">
        <f>COUNTIF(Sheet1!I2:I1000,"Intern")</f>
        <v>11</v>
      </c>
    </row>
    <row r="8">
      <c r="A8" s="21" t="s">
        <v>498</v>
      </c>
      <c r="B8" s="25">
        <f t="array" ref="B8">COUNTA(UNIQUE(Sheet1!C2:C1000))</f>
        <v>7</v>
      </c>
    </row>
    <row r="9">
      <c r="A9" s="21" t="s">
        <v>500</v>
      </c>
      <c r="B9" s="25">
        <f t="array" ref="B9">COUNTA(UNIQUE(Sheet1!K2:K1000))</f>
        <v>9</v>
      </c>
    </row>
    <row r="10">
      <c r="A10" s="21" t="s">
        <v>501</v>
      </c>
      <c r="B10" s="27">
        <f>ROUND(AVERAGE(Sheet1!L2:L1000),1)</f>
        <v>2.1</v>
      </c>
    </row>
    <row r="11">
      <c r="A11" s="21" t="s">
        <v>503</v>
      </c>
      <c r="B11" s="25">
        <f>IFERROR(__xludf.DUMMYFUNCTION("COUNTUNIQUE(Sheet1!E2:E1000)"),6.0)</f>
        <v>6</v>
      </c>
    </row>
    <row r="12">
      <c r="A12" s="21" t="s">
        <v>504</v>
      </c>
      <c r="B12" s="28">
        <f>Max(Sheet1!H2:H1000)</f>
        <v>45580</v>
      </c>
    </row>
    <row r="13">
      <c r="A13" s="21" t="s">
        <v>506</v>
      </c>
      <c r="B13" s="28">
        <f>MIN(Sheet1!H2:H1000)</f>
        <v>45296</v>
      </c>
    </row>
    <row r="14"/>
  </sheetData>
  <drawing r:id="rId5"/>
  <tableParts count="1">
    <tablePart r:id="rId7"/>
  </tableParts>
</worksheet>
</file>